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rt Here" sheetId="2" state="visible" r:id="rId2"/>
    <sheet name="Settings" sheetId="3" state="visible" r:id="rId3"/>
    <sheet name="Categories" sheetId="4" state="visible" r:id="rId4"/>
    <sheet name="Accounts" sheetId="5" state="visible" r:id="rId5"/>
    <sheet name="Customers" sheetId="6" state="visible" r:id="rId6"/>
    <sheet name="Products" sheetId="7" state="visible" r:id="rId7"/>
    <sheet name="Transactions" sheetId="8" state="visible" r:id="rId8"/>
    <sheet name="Budget" sheetId="9" state="visible" r:id="rId9"/>
    <sheet name="Monthly Summary" sheetId="10" state="visible" r:id="rId10"/>
    <sheet name="Receivables" sheetId="11" state="visible" r:id="rId11"/>
    <sheet name="Payables" sheetId="12" state="visible" r:id="rId12"/>
    <sheet name="P&amp;L Statement" sheetId="13" state="visible" r:id="rId13"/>
    <sheet name="Cash Flow &amp; Forecast" sheetId="14" state="visible" r:id="rId14"/>
    <sheet name="Goals &amp; KPIs" sheetId="15" state="visible" r:id="rId15"/>
    <sheet name="Financial Healt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[Red]-$#,##0.00"/>
    <numFmt numFmtId="166" formatCode="0.0%"/>
    <numFmt numFmtId="167" formatCode="mmm d, yyyy"/>
  </numFmts>
  <fonts count="13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4748B"/>
      <sz val="10"/>
    </font>
    <font>
      <b val="1"/>
      <color rgb="00B91C1C"/>
    </font>
    <font>
      <b val="1"/>
    </font>
    <font>
      <b val="1"/>
      <color rgb="00FFFFFF"/>
    </font>
    <font>
      <b val="1"/>
      <color rgb="0017324D"/>
      <sz val="14"/>
    </font>
    <font>
      <b val="1"/>
      <color rgb="0017324D"/>
      <sz val="16"/>
    </font>
    <font>
      <b val="1"/>
      <color rgb="002563EB"/>
      <sz val="24"/>
    </font>
    <font>
      <b val="1"/>
      <sz val="14"/>
    </font>
    <font>
      <b val="1"/>
      <color rgb="000F172A"/>
      <sz val="16"/>
    </font>
    <font>
      <b val="1"/>
      <color rgb="002563EB"/>
    </font>
    <font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  <fill>
      <patternFill patternType="solid">
        <fgColor rgb="0015803D"/>
      </patternFill>
    </fill>
    <fill>
      <patternFill patternType="solid">
        <fgColor rgb="00B91C1C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165" fontId="10" fillId="0" borderId="0" applyAlignment="1" pivotButton="0" quotePrefix="0" xfId="0">
      <alignment vertical="center" wrapText="1"/>
    </xf>
    <xf numFmtId="166" fontId="1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center" wrapText="1"/>
    </xf>
    <xf numFmtId="17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0" fillId="0" borderId="0" pivotButton="0" quotePrefix="0" xfId="0"/>
    <xf numFmtId="165" fontId="0" fillId="0" borderId="0" pivotButton="0" quotePrefix="0" xfId="0"/>
    <xf numFmtId="167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'Dashboard'!C17</f>
            </strRef>
          </tx>
          <spPr>
            <a:ln>
              <a:prstDash val="solid"/>
            </a:ln>
          </spPr>
          <cat>
            <numRef>
              <f>'Dashboard'!$B$18:$B$29</f>
            </numRef>
          </cat>
          <val>
            <numRef>
              <f>'Dashboard'!$C$18:$C$29</f>
            </numRef>
          </val>
        </ser>
        <ser>
          <idx val="1"/>
          <order val="1"/>
          <tx>
            <strRef>
              <f>'Dashboard'!D17</f>
            </strRef>
          </tx>
          <spPr>
            <a:ln>
              <a:prstDash val="solid"/>
            </a:ln>
          </spPr>
          <cat>
            <numRef>
              <f>'Dashboard'!$B$18:$B$29</f>
            </numRef>
          </cat>
          <val>
            <numRef>
              <f>'Dashboard'!$D$18:$D$29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90-Day Projected Closing Cash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 &amp; Forecast'!I2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&amp; Forecast'!$A$3:$A$93</f>
            </numRef>
          </cat>
          <val>
            <numRef>
              <f>'Cash Flow &amp; Forecast'!$I$3:$I$93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15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iesTable" displayName="CategoriesTable" ref="A2:D18" headerRowCount="1">
  <autoFilter ref="A2:D18"/>
  <tableColumns count="4">
    <tableColumn id="1" name="Edit categories used across the workbook."/>
    <tableColumn id="2" name="None"/>
    <tableColumn id="3" name="None"/>
    <tableColumn id="4" name="Non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ccountsTable" displayName="AccountsTable" ref="A2:E6" headerRowCount="1">
  <autoFilter ref="A2:E6"/>
  <tableColumns count="5">
    <tableColumn id="1" name="Bank, cash, credit card and wallet balances."/>
    <tableColumn id="2" name="None"/>
    <tableColumn id="3" name="None"/>
    <tableColumn id="4" name="None"/>
    <tableColumn id="5" name="Non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ustomersTable" displayName="CustomersTable" ref="A2:F8" headerRowCount="1">
  <autoFilter ref="A2:F8"/>
  <tableColumns count="6">
    <tableColumn id="1" name="Customer directory."/>
    <tableColumn id="2" name="None"/>
    <tableColumn id="3" name="None"/>
    <tableColumn id="4" name="None"/>
    <tableColumn id="5" name="None"/>
    <tableColumn id="6" name="Non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ductsTable" displayName="ProductsTable" ref="A2:G6" headerRowCount="1">
  <autoFilter ref="A2:G6"/>
  <tableColumns count="7">
    <tableColumn id="1" name="Maintain your catalog and pricing.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ransactionsTable" displayName="TransactionsTable" ref="A2:K11" headerRowCount="1">
  <autoFilter ref="A2:K11"/>
  <tableColumns count="11">
    <tableColumn id="1" name="Record all income and expenses using positive amounts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BudgetTable" displayName="BudgetTable" ref="A2:J14" headerRowCount="1">
  <autoFilter ref="A2:J14"/>
  <tableColumns count="10">
    <tableColumn id="1" name="Set targets and compare actual results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onthlySummaryTable" displayName="MonthlySummaryTable" ref="A2:L14" headerRowCount="1">
  <autoFilter ref="A2:L14"/>
  <tableColumns count="12">
    <tableColumn id="1" name="Revenue, expenses, profit, margin, budget variance and cumulative profit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eceivablesTable" displayName="ReceivablesTable" ref="A2:J6" headerRowCount="1">
  <autoFilter ref="A2:J6"/>
  <tableColumns count="10">
    <tableColumn id="1" name="Track invoices, collections and aging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PayablesTable" displayName="PayablesTable" ref="A2:J6" headerRowCount="1">
  <autoFilter ref="A2:J6"/>
  <tableColumns count="10">
    <tableColumn id="1" name="Track supplier bills and upcoming obligations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ashForecastTable" displayName="CashForecastTable" ref="A2:J93" headerRowCount="1">
  <autoFilter ref="A2:J93"/>
  <tableColumns count="10">
    <tableColumn id="1" name="Daily cash visibility and 90-day forward projection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GoalsTable" displayName="GoalsTable" ref="A2:F7" headerRowCount="1">
  <autoFilter ref="A2:F7"/>
  <tableColumns count="6">
    <tableColumn id="1" name="Track revenue, margin, reserve, collections and profit targets."/>
    <tableColumn id="2" name="None"/>
    <tableColumn id="3" name="None"/>
    <tableColumn id="4" name="None"/>
    <tableColumn id="5" name="None"/>
    <tableColumn id="6" name="Non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0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sheetData>
    <row r="1" ht="34" customHeight="1">
      <c r="A1" s="1" t="inlineStr">
        <is>
          <t>GlobalTools Finance Dashboard PRO</t>
        </is>
      </c>
    </row>
    <row r="2">
      <c r="A2" s="2" t="inlineStr">
        <is>
          <t>Executive financial view with cash forecast, goals and health indicators.</t>
        </is>
      </c>
    </row>
    <row r="3"/>
    <row r="4">
      <c r="B4" s="3" t="inlineStr">
        <is>
          <t>Revenue YTD</t>
        </is>
      </c>
      <c r="D4" s="4" t="inlineStr">
        <is>
          <t>Expenses YTD</t>
        </is>
      </c>
      <c r="F4" s="5" t="inlineStr">
        <is>
          <t>Net Profit</t>
        </is>
      </c>
      <c r="H4" s="6" t="inlineStr">
        <is>
          <t>Net Margin</t>
        </is>
      </c>
    </row>
    <row r="5">
      <c r="B5" s="7">
        <f>SUMIFS(Transactions!$H:$H,Transactions!$E:$E,"Income",Transactions!$F:$F,"&lt;&gt;Cancelled")</f>
        <v/>
      </c>
      <c r="D5" s="7">
        <f>SUMIFS(Transactions!$H:$H,Transactions!$E:$E,"Expense",Transactions!$F:$F,"&lt;&gt;Cancelled")</f>
        <v/>
      </c>
      <c r="F5" s="7">
        <f>B5-D5</f>
        <v/>
      </c>
      <c r="H5" s="8">
        <f>IFERROR(F5/B5,0)</f>
        <v/>
      </c>
    </row>
    <row r="6"/>
    <row r="7"/>
    <row r="8">
      <c r="B8" s="9" t="inlineStr">
        <is>
          <t>Cash Balance</t>
        </is>
      </c>
      <c r="C8" s="10">
        <f>SUM(Accounts!D3:D100)</f>
        <v/>
      </c>
      <c r="D8" s="9" t="inlineStr">
        <is>
          <t>90-Day Ending Cash</t>
        </is>
      </c>
      <c r="E8" s="10">
        <f>'Cash Flow &amp; Forecast'!M6</f>
        <v/>
      </c>
      <c r="F8" s="9" t="inlineStr">
        <is>
          <t>Health Score</t>
        </is>
      </c>
      <c r="G8" s="11">
        <f>'Financial Health'!B13</f>
        <v/>
      </c>
    </row>
    <row r="9"/>
    <row r="10"/>
    <row r="11">
      <c r="B11" s="12" t="inlineStr">
        <is>
          <t>PRO modules</t>
        </is>
      </c>
    </row>
    <row r="12">
      <c r="B12" s="13" t="inlineStr">
        <is>
          <t>Cash Flow</t>
        </is>
      </c>
      <c r="C12" s="13" t="inlineStr">
        <is>
          <t>Goals &amp; KPIs</t>
        </is>
      </c>
      <c r="D12" s="13" t="inlineStr">
        <is>
          <t>Financial Health</t>
        </is>
      </c>
    </row>
    <row r="13">
      <c r="B13" s="14" t="inlineStr">
        <is>
          <t>Daily + 90-day forecast</t>
        </is>
      </c>
      <c r="C13" s="14" t="inlineStr">
        <is>
          <t>Targets and progress</t>
        </is>
      </c>
      <c r="D13" s="14" t="inlineStr">
        <is>
          <t>Risk scorecard</t>
        </is>
      </c>
    </row>
    <row r="14"/>
    <row r="15"/>
    <row r="16">
      <c r="B16" s="12" t="inlineStr">
        <is>
          <t>Monthly Performance</t>
        </is>
      </c>
    </row>
    <row r="17">
      <c r="A17" s="15" t="n"/>
      <c r="B17" s="16" t="inlineStr">
        <is>
          <t>Month</t>
        </is>
      </c>
      <c r="C17" s="16" t="inlineStr">
        <is>
          <t>Revenue</t>
        </is>
      </c>
      <c r="D17" s="16" t="inlineStr">
        <is>
          <t>Expenses</t>
        </is>
      </c>
      <c r="E17" s="16" t="inlineStr">
        <is>
          <t>Profit</t>
        </is>
      </c>
      <c r="F17" s="16" t="inlineStr">
        <is>
          <t>Margin</t>
        </is>
      </c>
    </row>
    <row r="18">
      <c r="B18" s="17">
        <f>'Monthly Summary'!A3</f>
        <v/>
      </c>
      <c r="C18" s="10">
        <f>'Monthly Summary'!B3</f>
        <v/>
      </c>
      <c r="D18" s="10">
        <f>'Monthly Summary'!C3</f>
        <v/>
      </c>
      <c r="E18" s="10">
        <f>'Monthly Summary'!D3</f>
        <v/>
      </c>
      <c r="F18" s="18">
        <f>'Monthly Summary'!E3</f>
        <v/>
      </c>
    </row>
    <row r="19">
      <c r="B19" s="17">
        <f>'Monthly Summary'!A4</f>
        <v/>
      </c>
      <c r="C19" s="10">
        <f>'Monthly Summary'!B4</f>
        <v/>
      </c>
      <c r="D19" s="10">
        <f>'Monthly Summary'!C4</f>
        <v/>
      </c>
      <c r="E19" s="10">
        <f>'Monthly Summary'!D4</f>
        <v/>
      </c>
      <c r="F19" s="18">
        <f>'Monthly Summary'!E4</f>
        <v/>
      </c>
    </row>
    <row r="20">
      <c r="B20" s="17">
        <f>'Monthly Summary'!A5</f>
        <v/>
      </c>
      <c r="C20" s="10">
        <f>'Monthly Summary'!B5</f>
        <v/>
      </c>
      <c r="D20" s="10">
        <f>'Monthly Summary'!C5</f>
        <v/>
      </c>
      <c r="E20" s="10">
        <f>'Monthly Summary'!D5</f>
        <v/>
      </c>
      <c r="F20" s="18">
        <f>'Monthly Summary'!E5</f>
        <v/>
      </c>
    </row>
    <row r="21">
      <c r="B21" s="17">
        <f>'Monthly Summary'!A6</f>
        <v/>
      </c>
      <c r="C21" s="10">
        <f>'Monthly Summary'!B6</f>
        <v/>
      </c>
      <c r="D21" s="10">
        <f>'Monthly Summary'!C6</f>
        <v/>
      </c>
      <c r="E21" s="10">
        <f>'Monthly Summary'!D6</f>
        <v/>
      </c>
      <c r="F21" s="18">
        <f>'Monthly Summary'!E6</f>
        <v/>
      </c>
    </row>
    <row r="22">
      <c r="B22" s="17">
        <f>'Monthly Summary'!A7</f>
        <v/>
      </c>
      <c r="C22" s="10">
        <f>'Monthly Summary'!B7</f>
        <v/>
      </c>
      <c r="D22" s="10">
        <f>'Monthly Summary'!C7</f>
        <v/>
      </c>
      <c r="E22" s="10">
        <f>'Monthly Summary'!D7</f>
        <v/>
      </c>
      <c r="F22" s="18">
        <f>'Monthly Summary'!E7</f>
        <v/>
      </c>
    </row>
    <row r="23">
      <c r="B23" s="17">
        <f>'Monthly Summary'!A8</f>
        <v/>
      </c>
      <c r="C23" s="10">
        <f>'Monthly Summary'!B8</f>
        <v/>
      </c>
      <c r="D23" s="10">
        <f>'Monthly Summary'!C8</f>
        <v/>
      </c>
      <c r="E23" s="10">
        <f>'Monthly Summary'!D8</f>
        <v/>
      </c>
      <c r="F23" s="18">
        <f>'Monthly Summary'!E8</f>
        <v/>
      </c>
    </row>
    <row r="24">
      <c r="B24" s="17">
        <f>'Monthly Summary'!A9</f>
        <v/>
      </c>
      <c r="C24" s="10">
        <f>'Monthly Summary'!B9</f>
        <v/>
      </c>
      <c r="D24" s="10">
        <f>'Monthly Summary'!C9</f>
        <v/>
      </c>
      <c r="E24" s="10">
        <f>'Monthly Summary'!D9</f>
        <v/>
      </c>
      <c r="F24" s="18">
        <f>'Monthly Summary'!E9</f>
        <v/>
      </c>
    </row>
    <row r="25">
      <c r="B25" s="17">
        <f>'Monthly Summary'!A10</f>
        <v/>
      </c>
      <c r="C25" s="10">
        <f>'Monthly Summary'!B10</f>
        <v/>
      </c>
      <c r="D25" s="10">
        <f>'Monthly Summary'!C10</f>
        <v/>
      </c>
      <c r="E25" s="10">
        <f>'Monthly Summary'!D10</f>
        <v/>
      </c>
      <c r="F25" s="18">
        <f>'Monthly Summary'!E10</f>
        <v/>
      </c>
    </row>
    <row r="26">
      <c r="B26" s="17">
        <f>'Monthly Summary'!A11</f>
        <v/>
      </c>
      <c r="C26" s="10">
        <f>'Monthly Summary'!B11</f>
        <v/>
      </c>
      <c r="D26" s="10">
        <f>'Monthly Summary'!C11</f>
        <v/>
      </c>
      <c r="E26" s="10">
        <f>'Monthly Summary'!D11</f>
        <v/>
      </c>
      <c r="F26" s="18">
        <f>'Monthly Summary'!E11</f>
        <v/>
      </c>
    </row>
    <row r="27">
      <c r="B27" s="17">
        <f>'Monthly Summary'!A12</f>
        <v/>
      </c>
      <c r="C27" s="10">
        <f>'Monthly Summary'!B12</f>
        <v/>
      </c>
      <c r="D27" s="10">
        <f>'Monthly Summary'!C12</f>
        <v/>
      </c>
      <c r="E27" s="10">
        <f>'Monthly Summary'!D12</f>
        <v/>
      </c>
      <c r="F27" s="18">
        <f>'Monthly Summary'!E12</f>
        <v/>
      </c>
    </row>
    <row r="28">
      <c r="B28" s="17">
        <f>'Monthly Summary'!A13</f>
        <v/>
      </c>
      <c r="C28" s="10">
        <f>'Monthly Summary'!B13</f>
        <v/>
      </c>
      <c r="D28" s="10">
        <f>'Monthly Summary'!C13</f>
        <v/>
      </c>
      <c r="E28" s="10">
        <f>'Monthly Summary'!D13</f>
        <v/>
      </c>
      <c r="F28" s="18">
        <f>'Monthly Summary'!E13</f>
        <v/>
      </c>
    </row>
    <row r="29">
      <c r="B29" s="17">
        <f>'Monthly Summary'!A14</f>
        <v/>
      </c>
      <c r="C29" s="10">
        <f>'Monthly Summary'!B14</f>
        <v/>
      </c>
      <c r="D29" s="10">
        <f>'Monthly Summary'!C14</f>
        <v/>
      </c>
      <c r="E29" s="10">
        <f>'Monthly Summary'!D14</f>
        <v/>
      </c>
      <c r="F29" s="18">
        <f>'Monthly Summary'!E14</f>
        <v/>
      </c>
    </row>
  </sheetData>
  <mergeCells count="10">
    <mergeCell ref="F4:G4"/>
    <mergeCell ref="A1:J1"/>
    <mergeCell ref="B5:C5"/>
    <mergeCell ref="F5:G5"/>
    <mergeCell ref="D5:E5"/>
    <mergeCell ref="H5:I5"/>
    <mergeCell ref="D4:E4"/>
    <mergeCell ref="H4:I4"/>
    <mergeCell ref="A2:J2"/>
    <mergeCell ref="B4:C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GlobalTools Finance Dashboard PRO</t>
        </is>
      </c>
    </row>
    <row r="2">
      <c r="A2" s="2" t="inlineStr">
        <is>
          <t>Professional finance management workbook for small businesses and freelancers.</t>
        </is>
      </c>
    </row>
    <row r="3"/>
    <row r="4">
      <c r="A4" s="19" t="inlineStr">
        <is>
          <t>1</t>
        </is>
      </c>
      <c r="B4" s="19" t="inlineStr">
        <is>
          <t>Settings</t>
        </is>
      </c>
      <c r="C4" s="19" t="inlineStr">
        <is>
          <t>Set business name, targets, forecast start date and cash reserve.</t>
        </is>
      </c>
    </row>
    <row r="5">
      <c r="A5" s="19" t="inlineStr">
        <is>
          <t>2</t>
        </is>
      </c>
      <c r="B5" s="19" t="inlineStr">
        <is>
          <t>Transactions</t>
        </is>
      </c>
      <c r="C5" s="19" t="inlineStr">
        <is>
          <t>Record income, expenses and cash movements.</t>
        </is>
      </c>
    </row>
    <row r="6">
      <c r="A6" s="19" t="inlineStr">
        <is>
          <t>3</t>
        </is>
      </c>
      <c r="B6" s="19" t="inlineStr">
        <is>
          <t>Dashboard</t>
        </is>
      </c>
      <c r="C6" s="19" t="inlineStr">
        <is>
          <t>Review KPIs and monthly performance.</t>
        </is>
      </c>
    </row>
    <row r="7">
      <c r="A7" s="19" t="inlineStr">
        <is>
          <t>4</t>
        </is>
      </c>
      <c r="B7" s="19" t="inlineStr">
        <is>
          <t>Cash Flow &amp; Forecast</t>
        </is>
      </c>
      <c r="C7" s="19" t="inlineStr">
        <is>
          <t>See daily cash and a 90-day projection.</t>
        </is>
      </c>
    </row>
    <row r="8">
      <c r="A8" s="19" t="inlineStr">
        <is>
          <t>5</t>
        </is>
      </c>
      <c r="B8" s="19" t="inlineStr">
        <is>
          <t>Goals &amp; KPIs</t>
        </is>
      </c>
      <c r="C8" s="19" t="inlineStr">
        <is>
          <t>Track financial targets and progress.</t>
        </is>
      </c>
    </row>
    <row r="9">
      <c r="A9" s="19" t="inlineStr">
        <is>
          <t>6</t>
        </is>
      </c>
      <c r="B9" s="19" t="inlineStr">
        <is>
          <t>Financial Health</t>
        </is>
      </c>
      <c r="C9" s="19" t="inlineStr">
        <is>
          <t>Review liquidity, profitability and risk indicators.</t>
        </is>
      </c>
    </row>
    <row r="10">
      <c r="A10" s="19" t="inlineStr">
        <is>
          <t>7</t>
        </is>
      </c>
      <c r="B10" s="19" t="inlineStr">
        <is>
          <t>Receivables / Payables</t>
        </is>
      </c>
      <c r="C10" s="19" t="inlineStr">
        <is>
          <t>Control money owed to you and money you owe.</t>
        </is>
      </c>
    </row>
    <row r="11">
      <c r="A11" s="19" t="inlineStr">
        <is>
          <t>8</t>
        </is>
      </c>
      <c r="B11" s="19" t="inlineStr">
        <is>
          <t>Budget / P&amp;L</t>
        </is>
      </c>
      <c r="C11" s="19" t="inlineStr">
        <is>
          <t>Plan and compare actual performance.</t>
        </is>
      </c>
    </row>
    <row r="12"/>
    <row r="13"/>
    <row r="14">
      <c r="A14" s="20" t="inlineStr">
        <is>
          <t>Important</t>
        </is>
      </c>
      <c r="B14" s="9" t="inlineStr">
        <is>
          <t>This is a management planning tool, not accounting or tax advice.</t>
        </is>
      </c>
    </row>
  </sheetData>
  <mergeCells count="3">
    <mergeCell ref="B14:H14"/>
    <mergeCell ref="A1:J1"/>
    <mergeCell ref="A2:J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Settings</t>
        </is>
      </c>
    </row>
    <row r="2">
      <c r="A2" s="2" t="inlineStr">
        <is>
          <t>Customize the workbook before using it.</t>
        </is>
      </c>
    </row>
    <row r="3"/>
    <row r="4">
      <c r="A4" s="21" t="inlineStr">
        <is>
          <t>Business Name</t>
        </is>
      </c>
      <c r="B4" s="19" t="inlineStr">
        <is>
          <t>Your Business</t>
        </is>
      </c>
    </row>
    <row r="5">
      <c r="A5" s="21" t="inlineStr">
        <is>
          <t>Owner / Manager</t>
        </is>
      </c>
      <c r="B5" s="19" t="inlineStr">
        <is>
          <t>Your Name</t>
        </is>
      </c>
    </row>
    <row r="6">
      <c r="A6" s="21" t="inlineStr">
        <is>
          <t>Base Currency</t>
        </is>
      </c>
      <c r="B6" s="19" t="inlineStr">
        <is>
          <t>USD</t>
        </is>
      </c>
    </row>
    <row r="7">
      <c r="A7" s="21" t="inlineStr">
        <is>
          <t>Fiscal Year</t>
        </is>
      </c>
      <c r="B7" s="19" t="n">
        <v>2026</v>
      </c>
    </row>
    <row r="8">
      <c r="A8" s="21" t="inlineStr">
        <is>
          <t>Opening Cash</t>
        </is>
      </c>
      <c r="B8" s="22" t="n">
        <v>10000</v>
      </c>
    </row>
    <row r="9">
      <c r="A9" s="21" t="inlineStr">
        <is>
          <t>Target Monthly Revenue</t>
        </is>
      </c>
      <c r="B9" s="22" t="n">
        <v>15000</v>
      </c>
    </row>
    <row r="10">
      <c r="A10" s="21" t="inlineStr">
        <is>
          <t>Target Net Margin</t>
        </is>
      </c>
      <c r="B10" s="23" t="n">
        <v>0.2</v>
      </c>
    </row>
    <row r="11">
      <c r="A11" s="21" t="inlineStr">
        <is>
          <t>Forecast Start Date</t>
        </is>
      </c>
      <c r="B11" s="24" t="n">
        <v>46296</v>
      </c>
    </row>
    <row r="12">
      <c r="A12" s="21" t="inlineStr">
        <is>
          <t>Cash Reserve Target</t>
        </is>
      </c>
      <c r="B12" s="22" t="n">
        <v>5000</v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34" customHeight="1">
      <c r="A1" s="1" t="inlineStr">
        <is>
          <t>Categories</t>
        </is>
      </c>
    </row>
    <row r="2">
      <c r="A2" s="16" t="inlineStr">
        <is>
          <t>Edit categories used across the workbook.</t>
        </is>
      </c>
      <c r="B2" s="15" t="n"/>
      <c r="C2" s="15" t="n"/>
      <c r="D2" s="15" t="n"/>
    </row>
    <row r="3"/>
    <row r="4">
      <c r="A4" s="9" t="inlineStr">
        <is>
          <t>Category</t>
        </is>
      </c>
      <c r="B4" s="9" t="inlineStr">
        <is>
          <t>Type</t>
        </is>
      </c>
      <c r="C4" s="9" t="inlineStr">
        <is>
          <t>Group</t>
        </is>
      </c>
      <c r="D4" s="9" t="inlineStr">
        <is>
          <t>Active</t>
        </is>
      </c>
    </row>
    <row r="5">
      <c r="A5" s="9" t="inlineStr">
        <is>
          <t>Sales Revenue</t>
        </is>
      </c>
      <c r="B5" s="9" t="inlineStr">
        <is>
          <t>Income</t>
        </is>
      </c>
      <c r="C5" s="9" t="inlineStr">
        <is>
          <t>Revenue</t>
        </is>
      </c>
      <c r="D5" s="9" t="inlineStr">
        <is>
          <t>Yes</t>
        </is>
      </c>
    </row>
    <row r="6">
      <c r="A6" s="9" t="inlineStr">
        <is>
          <t>Services Revenue</t>
        </is>
      </c>
      <c r="B6" s="9" t="inlineStr">
        <is>
          <t>Income</t>
        </is>
      </c>
      <c r="C6" s="9" t="inlineStr">
        <is>
          <t>Revenue</t>
        </is>
      </c>
      <c r="D6" s="9" t="inlineStr">
        <is>
          <t>Yes</t>
        </is>
      </c>
    </row>
    <row r="7">
      <c r="A7" s="9" t="inlineStr">
        <is>
          <t>Other Income</t>
        </is>
      </c>
      <c r="B7" s="9" t="inlineStr">
        <is>
          <t>Income</t>
        </is>
      </c>
      <c r="C7" s="9" t="inlineStr">
        <is>
          <t>Other</t>
        </is>
      </c>
      <c r="D7" s="9" t="inlineStr">
        <is>
          <t>Yes</t>
        </is>
      </c>
    </row>
    <row r="8">
      <c r="A8" s="9" t="inlineStr">
        <is>
          <t>Payroll</t>
        </is>
      </c>
      <c r="B8" s="9" t="inlineStr">
        <is>
          <t>Expense</t>
        </is>
      </c>
      <c r="C8" s="9" t="inlineStr">
        <is>
          <t>People</t>
        </is>
      </c>
      <c r="D8" s="9" t="inlineStr">
        <is>
          <t>Yes</t>
        </is>
      </c>
    </row>
    <row r="9">
      <c r="A9" s="9" t="inlineStr">
        <is>
          <t>Rent &amp; Utilities</t>
        </is>
      </c>
      <c r="B9" s="9" t="inlineStr">
        <is>
          <t>Expense</t>
        </is>
      </c>
      <c r="C9" s="9" t="inlineStr">
        <is>
          <t>Operating</t>
        </is>
      </c>
      <c r="D9" s="9" t="inlineStr">
        <is>
          <t>Yes</t>
        </is>
      </c>
    </row>
    <row r="10">
      <c r="A10" s="9" t="inlineStr">
        <is>
          <t>Software &amp; Subscriptions</t>
        </is>
      </c>
      <c r="B10" s="9" t="inlineStr">
        <is>
          <t>Expense</t>
        </is>
      </c>
      <c r="C10" s="9" t="inlineStr">
        <is>
          <t>Operating</t>
        </is>
      </c>
      <c r="D10" s="9" t="inlineStr">
        <is>
          <t>Yes</t>
        </is>
      </c>
    </row>
    <row r="11">
      <c r="A11" s="9" t="inlineStr">
        <is>
          <t>Marketing</t>
        </is>
      </c>
      <c r="B11" s="9" t="inlineStr">
        <is>
          <t>Expense</t>
        </is>
      </c>
      <c r="C11" s="9" t="inlineStr">
        <is>
          <t>Operating</t>
        </is>
      </c>
      <c r="D11" s="9" t="inlineStr">
        <is>
          <t>Yes</t>
        </is>
      </c>
    </row>
    <row r="12">
      <c r="A12" s="9" t="inlineStr">
        <is>
          <t>Office &amp; Supplies</t>
        </is>
      </c>
      <c r="B12" s="9" t="inlineStr">
        <is>
          <t>Expense</t>
        </is>
      </c>
      <c r="C12" s="9" t="inlineStr">
        <is>
          <t>Operating</t>
        </is>
      </c>
      <c r="D12" s="9" t="inlineStr">
        <is>
          <t>Yes</t>
        </is>
      </c>
    </row>
    <row r="13">
      <c r="A13" s="9" t="inlineStr">
        <is>
          <t>Travel</t>
        </is>
      </c>
      <c r="B13" s="9" t="inlineStr">
        <is>
          <t>Expense</t>
        </is>
      </c>
      <c r="C13" s="9" t="inlineStr">
        <is>
          <t>Operating</t>
        </is>
      </c>
      <c r="D13" s="9" t="inlineStr">
        <is>
          <t>Yes</t>
        </is>
      </c>
    </row>
    <row r="14">
      <c r="A14" s="9" t="inlineStr">
        <is>
          <t>Professional Services</t>
        </is>
      </c>
      <c r="B14" s="9" t="inlineStr">
        <is>
          <t>Expense</t>
        </is>
      </c>
      <c r="C14" s="9" t="inlineStr">
        <is>
          <t>Operating</t>
        </is>
      </c>
      <c r="D14" s="9" t="inlineStr">
        <is>
          <t>Yes</t>
        </is>
      </c>
    </row>
    <row r="15">
      <c r="A15" s="9" t="inlineStr">
        <is>
          <t>Bank Fees</t>
        </is>
      </c>
      <c r="B15" s="9" t="inlineStr">
        <is>
          <t>Expense</t>
        </is>
      </c>
      <c r="C15" s="9" t="inlineStr">
        <is>
          <t>Finance</t>
        </is>
      </c>
      <c r="D15" s="9" t="inlineStr">
        <is>
          <t>Yes</t>
        </is>
      </c>
    </row>
    <row r="16">
      <c r="A16" s="9" t="inlineStr">
        <is>
          <t>Taxes</t>
        </is>
      </c>
      <c r="B16" s="9" t="inlineStr">
        <is>
          <t>Expense</t>
        </is>
      </c>
      <c r="C16" s="9" t="inlineStr">
        <is>
          <t>Finance</t>
        </is>
      </c>
      <c r="D16" s="9" t="inlineStr">
        <is>
          <t>Yes</t>
        </is>
      </c>
    </row>
    <row r="17">
      <c r="A17" s="9" t="inlineStr">
        <is>
          <t>Equipment</t>
        </is>
      </c>
      <c r="B17" s="9" t="inlineStr">
        <is>
          <t>Expense</t>
        </is>
      </c>
      <c r="C17" s="9" t="inlineStr">
        <is>
          <t>Capital</t>
        </is>
      </c>
      <c r="D17" s="9" t="inlineStr">
        <is>
          <t>Yes</t>
        </is>
      </c>
    </row>
    <row r="18">
      <c r="A18" s="9" t="inlineStr">
        <is>
          <t>Other Expense</t>
        </is>
      </c>
      <c r="B18" s="9" t="inlineStr">
        <is>
          <t>Expense</t>
        </is>
      </c>
      <c r="C18" s="9" t="inlineStr">
        <is>
          <t>Other</t>
        </is>
      </c>
      <c r="D18" s="9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32" customWidth="1" min="4" max="4"/>
    <col width="12" customWidth="1" min="5" max="5"/>
  </cols>
  <sheetData>
    <row r="1" ht="34" customHeight="1">
      <c r="A1" s="1" t="inlineStr">
        <is>
          <t>Accounts</t>
        </is>
      </c>
    </row>
    <row r="2">
      <c r="A2" s="16" t="inlineStr">
        <is>
          <t>Bank, cash, credit card and wallet balances.</t>
        </is>
      </c>
      <c r="B2" s="15" t="n"/>
      <c r="C2" s="15" t="n"/>
      <c r="D2" s="15" t="n"/>
      <c r="E2" s="15" t="n"/>
    </row>
    <row r="3">
      <c r="A3" s="9" t="inlineStr">
        <is>
          <t>Main Checking</t>
        </is>
      </c>
      <c r="B3" s="9" t="inlineStr">
        <is>
          <t>Bank</t>
        </is>
      </c>
      <c r="C3" s="10" t="n">
        <v>8000</v>
      </c>
      <c r="D3" s="10">
        <f>C3+SUMIFS(Transactions!$H:$H,Transactions!$G:$G,A3,Transactions!$E:$E,"Income")-SUMIFS(Transactions!$H:$H,Transactions!$G:$G,A3,Transactions!$E:$E,"Expense")</f>
        <v/>
      </c>
      <c r="E3" s="9" t="inlineStr">
        <is>
          <t>Yes</t>
        </is>
      </c>
    </row>
    <row r="4">
      <c r="A4" s="9" t="inlineStr">
        <is>
          <t>Business Savings</t>
        </is>
      </c>
      <c r="B4" s="9" t="inlineStr">
        <is>
          <t>Bank</t>
        </is>
      </c>
      <c r="C4" s="10" t="n">
        <v>2000</v>
      </c>
      <c r="D4" s="10">
        <f>C4+SUMIFS(Transactions!$H:$H,Transactions!$G:$G,A4,Transactions!$E:$E,"Income")-SUMIFS(Transactions!$H:$H,Transactions!$G:$G,A4,Transactions!$E:$E,"Expense")</f>
        <v/>
      </c>
      <c r="E4" s="9" t="inlineStr">
        <is>
          <t>Yes</t>
        </is>
      </c>
    </row>
    <row r="5">
      <c r="A5" s="9" t="inlineStr">
        <is>
          <t>Cash</t>
        </is>
      </c>
      <c r="B5" s="9" t="inlineStr">
        <is>
          <t>Cash</t>
        </is>
      </c>
      <c r="C5" s="10" t="n">
        <v>500</v>
      </c>
      <c r="D5" s="10">
        <f>C5+SUMIFS(Transactions!$H:$H,Transactions!$G:$G,A5,Transactions!$E:$E,"Income")-SUMIFS(Transactions!$H:$H,Transactions!$G:$G,A5,Transactions!$E:$E,"Expense")</f>
        <v/>
      </c>
      <c r="E5" s="9" t="inlineStr">
        <is>
          <t>Yes</t>
        </is>
      </c>
    </row>
    <row r="6">
      <c r="A6" s="9" t="inlineStr">
        <is>
          <t>Business Credit Card</t>
        </is>
      </c>
      <c r="B6" s="9" t="inlineStr">
        <is>
          <t>Credit Card</t>
        </is>
      </c>
      <c r="C6" s="10" t="n">
        <v>0</v>
      </c>
      <c r="D6" s="10">
        <f>C6+SUMIFS(Transactions!$H:$H,Transactions!$G:$G,A6,Transactions!$E:$E,"Income")-SUMIFS(Transactions!$H:$H,Transactions!$G:$G,A6,Transactions!$E:$E,"Expense")</f>
        <v/>
      </c>
      <c r="E6" s="9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8" customWidth="1" min="3" max="3"/>
    <col width="13" customWidth="1" min="4" max="4"/>
    <col width="12" customWidth="1" min="5" max="5"/>
    <col width="20" customWidth="1" min="6" max="6"/>
  </cols>
  <sheetData>
    <row r="1" ht="34" customHeight="1">
      <c r="A1" s="1" t="inlineStr">
        <is>
          <t>Customers</t>
        </is>
      </c>
    </row>
    <row r="2">
      <c r="A2" s="16" t="inlineStr">
        <is>
          <t>Customer directory.</t>
        </is>
      </c>
      <c r="B2" s="15" t="n"/>
      <c r="C2" s="15" t="n"/>
      <c r="D2" s="15" t="n"/>
      <c r="E2" s="15" t="n"/>
      <c r="F2" s="15" t="n"/>
    </row>
    <row r="3"/>
    <row r="4">
      <c r="A4" s="9" t="inlineStr">
        <is>
          <t>Customer ID</t>
        </is>
      </c>
      <c r="B4" s="9" t="inlineStr">
        <is>
          <t>Customer</t>
        </is>
      </c>
      <c r="C4" s="9" t="inlineStr">
        <is>
          <t>Email</t>
        </is>
      </c>
      <c r="D4" s="9" t="inlineStr">
        <is>
          <t>Phone</t>
        </is>
      </c>
      <c r="E4" s="9" t="inlineStr">
        <is>
          <t>Status</t>
        </is>
      </c>
      <c r="F4" s="9" t="inlineStr">
        <is>
          <t>Notes</t>
        </is>
      </c>
    </row>
    <row r="5">
      <c r="A5" s="9" t="inlineStr">
        <is>
          <t>C-001</t>
        </is>
      </c>
      <c r="B5" s="9" t="inlineStr">
        <is>
          <t>Acme Consulting</t>
        </is>
      </c>
      <c r="C5" s="9" t="inlineStr">
        <is>
          <t>billing@acme.example</t>
        </is>
      </c>
      <c r="D5" s="9" t="inlineStr">
        <is>
          <t>+1 555-0101</t>
        </is>
      </c>
      <c r="E5" s="9" t="inlineStr">
        <is>
          <t>Active</t>
        </is>
      </c>
      <c r="F5" s="9" t="inlineStr">
        <is>
          <t>Monthly consulting</t>
        </is>
      </c>
    </row>
    <row r="6">
      <c r="A6" s="9" t="inlineStr">
        <is>
          <t>C-002</t>
        </is>
      </c>
      <c r="B6" s="9" t="inlineStr">
        <is>
          <t>Northstar Studio</t>
        </is>
      </c>
      <c r="C6" s="9" t="inlineStr">
        <is>
          <t>finance@northstar.example</t>
        </is>
      </c>
      <c r="D6" s="9" t="inlineStr">
        <is>
          <t>+1 555-0102</t>
        </is>
      </c>
      <c r="E6" s="9" t="inlineStr">
        <is>
          <t>Active</t>
        </is>
      </c>
      <c r="F6" s="9" t="inlineStr">
        <is>
          <t>Design services</t>
        </is>
      </c>
    </row>
    <row r="7">
      <c r="A7" s="9" t="inlineStr">
        <is>
          <t>C-003</t>
        </is>
      </c>
      <c r="B7" s="9" t="inlineStr">
        <is>
          <t>Greenline Retail</t>
        </is>
      </c>
      <c r="C7" s="9" t="inlineStr">
        <is>
          <t>accounts@greenline.example</t>
        </is>
      </c>
      <c r="D7" s="9" t="inlineStr">
        <is>
          <t>+1 555-0103</t>
        </is>
      </c>
      <c r="E7" s="9" t="inlineStr">
        <is>
          <t>Active</t>
        </is>
      </c>
      <c r="F7" s="9" t="inlineStr">
        <is>
          <t>Retail account</t>
        </is>
      </c>
    </row>
    <row r="8">
      <c r="A8" s="9" t="inlineStr">
        <is>
          <t>C-004</t>
        </is>
      </c>
      <c r="B8" s="9" t="inlineStr">
        <is>
          <t>BrightPath LLC</t>
        </is>
      </c>
      <c r="C8" s="9" t="inlineStr">
        <is>
          <t>ap@brightpath.example</t>
        </is>
      </c>
      <c r="D8" s="9" t="inlineStr">
        <is>
          <t>+1 555-0104</t>
        </is>
      </c>
      <c r="E8" s="9" t="inlineStr">
        <is>
          <t>Active</t>
        </is>
      </c>
      <c r="F8" s="9" t="inlineStr">
        <is>
          <t>Project client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</cols>
  <sheetData>
    <row r="1" ht="34" customHeight="1">
      <c r="A1" s="1" t="inlineStr">
        <is>
          <t>Products &amp; Services</t>
        </is>
      </c>
    </row>
    <row r="2">
      <c r="A2" s="16" t="inlineStr">
        <is>
          <t>Maintain your catalog and pricing.</t>
        </is>
      </c>
      <c r="B2" s="15" t="n"/>
      <c r="C2" s="15" t="n"/>
      <c r="D2" s="15" t="n"/>
      <c r="E2" s="15" t="n"/>
      <c r="F2" s="15" t="n"/>
      <c r="G2" s="15" t="n"/>
    </row>
    <row r="3">
      <c r="A3" s="9" t="inlineStr">
        <is>
          <t>SVC-001</t>
        </is>
      </c>
      <c r="B3" s="9" t="inlineStr">
        <is>
          <t>Consulting Package</t>
        </is>
      </c>
      <c r="C3" s="9" t="inlineStr">
        <is>
          <t>Service</t>
        </is>
      </c>
      <c r="D3" s="10" t="n">
        <v>1500</v>
      </c>
      <c r="E3" s="10" t="n">
        <v>500</v>
      </c>
      <c r="F3" s="18">
        <f>IFERROR((D3-E3)/D3,0)</f>
        <v/>
      </c>
      <c r="G3" s="9" t="inlineStr">
        <is>
          <t>Yes</t>
        </is>
      </c>
    </row>
    <row r="4">
      <c r="A4" s="9" t="inlineStr">
        <is>
          <t>SVC-002</t>
        </is>
      </c>
      <c r="B4" s="9" t="inlineStr">
        <is>
          <t>Monthly Retainer</t>
        </is>
      </c>
      <c r="C4" s="9" t="inlineStr">
        <is>
          <t>Service</t>
        </is>
      </c>
      <c r="D4" s="10" t="n">
        <v>1200</v>
      </c>
      <c r="E4" s="10" t="n">
        <v>350</v>
      </c>
      <c r="F4" s="18">
        <f>IFERROR((D4-E4)/D4,0)</f>
        <v/>
      </c>
      <c r="G4" s="9" t="inlineStr">
        <is>
          <t>Yes</t>
        </is>
      </c>
    </row>
    <row r="5">
      <c r="A5" s="9" t="inlineStr">
        <is>
          <t>PRD-001</t>
        </is>
      </c>
      <c r="B5" s="9" t="inlineStr">
        <is>
          <t>Digital Template</t>
        </is>
      </c>
      <c r="C5" s="9" t="inlineStr">
        <is>
          <t>Product</t>
        </is>
      </c>
      <c r="D5" s="10" t="n">
        <v>49</v>
      </c>
      <c r="E5" s="10" t="n">
        <v>5</v>
      </c>
      <c r="F5" s="18">
        <f>IFERROR((D5-E5)/D5,0)</f>
        <v/>
      </c>
      <c r="G5" s="9" t="inlineStr">
        <is>
          <t>Yes</t>
        </is>
      </c>
    </row>
    <row r="6">
      <c r="A6" s="9" t="inlineStr">
        <is>
          <t>SVC-003</t>
        </is>
      </c>
      <c r="B6" s="9" t="inlineStr">
        <is>
          <t>Implementation Project</t>
        </is>
      </c>
      <c r="C6" s="9" t="inlineStr">
        <is>
          <t>Service</t>
        </is>
      </c>
      <c r="D6" s="10" t="n">
        <v>3000</v>
      </c>
      <c r="E6" s="10" t="n">
        <v>1200</v>
      </c>
      <c r="F6" s="18">
        <f>IFERROR((D6-E6)/D6,0)</f>
        <v/>
      </c>
      <c r="G6" s="9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26" customWidth="1" min="4" max="4"/>
    <col width="12" customWidth="1" min="5" max="5"/>
    <col width="12" customWidth="1" min="6" max="6"/>
    <col width="22" customWidth="1" min="7" max="7"/>
    <col width="12" customWidth="1" min="8" max="8"/>
    <col width="19" customWidth="1" min="9" max="9"/>
    <col width="12" customWidth="1" min="10" max="10"/>
    <col width="17" customWidth="1" min="11" max="11"/>
  </cols>
  <sheetData>
    <row r="1" ht="34" customHeight="1">
      <c r="A1" s="1" t="inlineStr">
        <is>
          <t>Transactions</t>
        </is>
      </c>
    </row>
    <row r="2">
      <c r="A2" s="16" t="inlineStr">
        <is>
          <t>Record all income and expenses using positive amounts.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25" t="n"/>
      <c r="H3" s="26" t="n"/>
    </row>
    <row r="4">
      <c r="A4" s="27" t="inlineStr">
        <is>
          <t>Date</t>
        </is>
      </c>
      <c r="B4" s="9" t="inlineStr">
        <is>
          <t>Reference</t>
        </is>
      </c>
      <c r="C4" s="9" t="inlineStr">
        <is>
          <t>Description</t>
        </is>
      </c>
      <c r="D4" s="9" t="inlineStr">
        <is>
          <t>Category</t>
        </is>
      </c>
      <c r="E4" s="9" t="inlineStr">
        <is>
          <t>Type</t>
        </is>
      </c>
      <c r="F4" s="9" t="inlineStr">
        <is>
          <t>Status</t>
        </is>
      </c>
      <c r="G4" s="9" t="inlineStr">
        <is>
          <t>Account</t>
        </is>
      </c>
      <c r="H4" s="10" t="inlineStr">
        <is>
          <t>Amount</t>
        </is>
      </c>
      <c r="I4" s="9" t="inlineStr">
        <is>
          <t>Customer / Vendor</t>
        </is>
      </c>
      <c r="J4" s="9" t="inlineStr">
        <is>
          <t>Recurring</t>
        </is>
      </c>
      <c r="K4" s="9" t="inlineStr">
        <is>
          <t>Notes</t>
        </is>
      </c>
    </row>
    <row r="5">
      <c r="A5" s="27" t="n">
        <v>46027</v>
      </c>
      <c r="B5" s="9" t="inlineStr">
        <is>
          <t>INV-1001</t>
        </is>
      </c>
      <c r="C5" s="9" t="inlineStr">
        <is>
          <t>Consulting Package</t>
        </is>
      </c>
      <c r="D5" s="9" t="inlineStr">
        <is>
          <t>Services Revenue</t>
        </is>
      </c>
      <c r="E5" s="9" t="inlineStr">
        <is>
          <t>Income</t>
        </is>
      </c>
      <c r="F5" s="9" t="inlineStr">
        <is>
          <t>Paid</t>
        </is>
      </c>
      <c r="G5" s="9" t="inlineStr">
        <is>
          <t>Main Checking</t>
        </is>
      </c>
      <c r="H5" s="10" t="n">
        <v>1500</v>
      </c>
      <c r="I5" s="9" t="inlineStr">
        <is>
          <t>Acme Consulting</t>
        </is>
      </c>
      <c r="J5" s="9" t="inlineStr">
        <is>
          <t>No</t>
        </is>
      </c>
      <c r="K5" s="9" t="inlineStr">
        <is>
          <t>January project</t>
        </is>
      </c>
    </row>
    <row r="6">
      <c r="A6" s="27" t="n">
        <v>46030</v>
      </c>
      <c r="B6" s="9" t="inlineStr">
        <is>
          <t>BILL-2001</t>
        </is>
      </c>
      <c r="C6" s="9" t="inlineStr">
        <is>
          <t>Software subscription</t>
        </is>
      </c>
      <c r="D6" s="9" t="inlineStr">
        <is>
          <t>Software &amp; Subscriptions</t>
        </is>
      </c>
      <c r="E6" s="9" t="inlineStr">
        <is>
          <t>Expense</t>
        </is>
      </c>
      <c r="F6" s="9" t="inlineStr">
        <is>
          <t>Paid</t>
        </is>
      </c>
      <c r="G6" s="9" t="inlineStr">
        <is>
          <t>Main Checking</t>
        </is>
      </c>
      <c r="H6" s="10" t="n">
        <v>99</v>
      </c>
      <c r="I6" s="9" t="inlineStr">
        <is>
          <t>Cloud Software</t>
        </is>
      </c>
      <c r="J6" s="9" t="inlineStr">
        <is>
          <t>Yes</t>
        </is>
      </c>
      <c r="K6" s="9" t="inlineStr">
        <is>
          <t>Monthly</t>
        </is>
      </c>
    </row>
    <row r="7">
      <c r="A7" s="27" t="n">
        <v>46034</v>
      </c>
      <c r="B7" s="9" t="inlineStr">
        <is>
          <t>INV-1002</t>
        </is>
      </c>
      <c r="C7" s="9" t="inlineStr">
        <is>
          <t>Monthly Retainer</t>
        </is>
      </c>
      <c r="D7" s="9" t="inlineStr">
        <is>
          <t>Services Revenue</t>
        </is>
      </c>
      <c r="E7" s="9" t="inlineStr">
        <is>
          <t>Income</t>
        </is>
      </c>
      <c r="F7" s="9" t="inlineStr">
        <is>
          <t>Paid</t>
        </is>
      </c>
      <c r="G7" s="9" t="inlineStr">
        <is>
          <t>Main Checking</t>
        </is>
      </c>
      <c r="H7" s="10" t="n">
        <v>1200</v>
      </c>
      <c r="I7" s="9" t="inlineStr">
        <is>
          <t>Northstar Studio</t>
        </is>
      </c>
      <c r="J7" s="9" t="inlineStr">
        <is>
          <t>Yes</t>
        </is>
      </c>
      <c r="K7" s="9" t="inlineStr">
        <is>
          <t>Retainer</t>
        </is>
      </c>
    </row>
    <row r="8">
      <c r="A8" s="27" t="n">
        <v>46042</v>
      </c>
      <c r="B8" s="9" t="inlineStr">
        <is>
          <t>BILL-2002</t>
        </is>
      </c>
      <c r="C8" s="9" t="inlineStr">
        <is>
          <t>Marketing campaign</t>
        </is>
      </c>
      <c r="D8" s="9" t="inlineStr">
        <is>
          <t>Marketing</t>
        </is>
      </c>
      <c r="E8" s="9" t="inlineStr">
        <is>
          <t>Expense</t>
        </is>
      </c>
      <c r="F8" s="9" t="inlineStr">
        <is>
          <t>Paid</t>
        </is>
      </c>
      <c r="G8" s="9" t="inlineStr">
        <is>
          <t>Business Credit Card</t>
        </is>
      </c>
      <c r="H8" s="10" t="n">
        <v>450</v>
      </c>
      <c r="I8" s="9" t="inlineStr">
        <is>
          <t>Ad Platform</t>
        </is>
      </c>
      <c r="J8" s="9" t="inlineStr">
        <is>
          <t>No</t>
        </is>
      </c>
      <c r="K8" s="9" t="inlineStr">
        <is>
          <t>Campaign</t>
        </is>
      </c>
    </row>
    <row r="9">
      <c r="A9" s="27" t="n">
        <v>46056</v>
      </c>
      <c r="B9" s="9" t="inlineStr">
        <is>
          <t>INV-1003</t>
        </is>
      </c>
      <c r="C9" s="9" t="inlineStr">
        <is>
          <t>Implementation Project</t>
        </is>
      </c>
      <c r="D9" s="9" t="inlineStr">
        <is>
          <t>Services Revenue</t>
        </is>
      </c>
      <c r="E9" s="9" t="inlineStr">
        <is>
          <t>Income</t>
        </is>
      </c>
      <c r="F9" s="9" t="inlineStr">
        <is>
          <t>Paid</t>
        </is>
      </c>
      <c r="G9" s="9" t="inlineStr">
        <is>
          <t>Main Checking</t>
        </is>
      </c>
      <c r="H9" s="10" t="n">
        <v>3000</v>
      </c>
      <c r="I9" s="9" t="inlineStr">
        <is>
          <t>BrightPath LLC</t>
        </is>
      </c>
      <c r="J9" s="9" t="inlineStr">
        <is>
          <t>No</t>
        </is>
      </c>
      <c r="K9" s="9" t="inlineStr">
        <is>
          <t>Phase 1</t>
        </is>
      </c>
    </row>
    <row r="10">
      <c r="A10" s="27" t="n">
        <v>46060</v>
      </c>
      <c r="B10" s="9" t="inlineStr">
        <is>
          <t>BILL-2003</t>
        </is>
      </c>
      <c r="C10" s="9" t="inlineStr">
        <is>
          <t>Professional services</t>
        </is>
      </c>
      <c r="D10" s="9" t="inlineStr">
        <is>
          <t>Professional Services</t>
        </is>
      </c>
      <c r="E10" s="9" t="inlineStr">
        <is>
          <t>Expense</t>
        </is>
      </c>
      <c r="F10" s="9" t="inlineStr">
        <is>
          <t>Paid</t>
        </is>
      </c>
      <c r="G10" s="9" t="inlineStr">
        <is>
          <t>Main Checking</t>
        </is>
      </c>
      <c r="H10" s="10" t="n">
        <v>600</v>
      </c>
      <c r="I10" s="9" t="inlineStr">
        <is>
          <t>Accountant</t>
        </is>
      </c>
      <c r="J10" s="9" t="inlineStr">
        <is>
          <t>No</t>
        </is>
      </c>
      <c r="K10" s="9" t="inlineStr">
        <is>
          <t>Bookkeeping</t>
        </is>
      </c>
    </row>
    <row r="11">
      <c r="A11" s="27" t="n">
        <v>46068</v>
      </c>
      <c r="B11" s="9" t="inlineStr">
        <is>
          <t>INV-1004</t>
        </is>
      </c>
      <c r="C11" s="9" t="inlineStr">
        <is>
          <t>Digital Template</t>
        </is>
      </c>
      <c r="D11" s="9" t="inlineStr">
        <is>
          <t>Sales Revenue</t>
        </is>
      </c>
      <c r="E11" s="9" t="inlineStr">
        <is>
          <t>Income</t>
        </is>
      </c>
      <c r="F11" s="9" t="inlineStr">
        <is>
          <t>Paid</t>
        </is>
      </c>
      <c r="G11" s="9" t="inlineStr">
        <is>
          <t>Main Checking</t>
        </is>
      </c>
      <c r="H11" s="10" t="n">
        <v>49</v>
      </c>
      <c r="I11" s="9" t="inlineStr">
        <is>
          <t>Greenline Retail</t>
        </is>
      </c>
      <c r="J11" s="9" t="inlineStr">
        <is>
          <t>No</t>
        </is>
      </c>
      <c r="K11" s="9" t="inlineStr">
        <is>
          <t>Online sale</t>
        </is>
      </c>
    </row>
  </sheetData>
  <mergeCells count="2">
    <mergeCell ref="A1:J1"/>
    <mergeCell ref="A2:J2"/>
  </mergeCells>
  <dataValidations count="3">
    <dataValidation sqref="E3:E1000" showDropDown="0" showInputMessage="0" showErrorMessage="0" allowBlank="0" type="list">
      <formula1>"Income,Expense,Transfer"</formula1>
    </dataValidation>
    <dataValidation sqref="F3:F1000" showDropDown="0" showInputMessage="0" showErrorMessage="0" allowBlank="0" type="list">
      <formula1>"Paid,Pending,Cancelled"</formula1>
    </dataValidation>
    <dataValidation sqref="J3:J1000" showDropDown="0" showInputMessage="0" showErrorMessage="0" allowBlank="0" type="list">
      <formula1>"Yes,No"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32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Budget Planner</t>
        </is>
      </c>
    </row>
    <row r="2">
      <c r="A2" s="16" t="inlineStr">
        <is>
          <t>Set targets and compare actual results.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>
      <c r="A3" s="17" t="n">
        <v>46023</v>
      </c>
      <c r="B3" s="10" t="n">
        <v>15000</v>
      </c>
      <c r="C3" s="10" t="n">
        <v>9000</v>
      </c>
      <c r="D3" s="10">
        <f>B3-C3</f>
        <v/>
      </c>
      <c r="E3" s="10">
        <f>SUMIFS(Transactions!$H:$H,Transactions!$A:$A,"&gt;="&amp;A3,Transactions!$A:$A,"&lt;"&amp;EDATE(A3,1),Transactions!$E:$E,"Income",Transactions!$F:$F,"&lt;&gt;Cancelled")</f>
        <v/>
      </c>
      <c r="F3" s="10">
        <f>SUMIFS(Transactions!$H:$H,Transactions!$A:$A,"&gt;="&amp;A3,Transactions!$A:$A,"&lt;"&amp;EDATE(A3,1),Transactions!$E:$E,"Expense",Transactions!$F:$F,"&lt;&gt;Cancelled")</f>
        <v/>
      </c>
      <c r="G3" s="10">
        <f>E3-F3</f>
        <v/>
      </c>
      <c r="H3" s="10">
        <f>E3-B3</f>
        <v/>
      </c>
      <c r="I3" s="10">
        <f>F3-C3</f>
        <v/>
      </c>
      <c r="J3" s="10">
        <f>G3-D3</f>
        <v/>
      </c>
    </row>
    <row r="4">
      <c r="A4" s="17" t="n">
        <v>46054</v>
      </c>
      <c r="B4" s="10" t="n">
        <v>15000</v>
      </c>
      <c r="C4" s="10" t="n">
        <v>9000</v>
      </c>
      <c r="D4" s="10">
        <f>B4-C4</f>
        <v/>
      </c>
      <c r="E4" s="10">
        <f>SUMIFS(Transactions!$H:$H,Transactions!$A:$A,"&gt;="&amp;A4,Transactions!$A:$A,"&lt;"&amp;EDATE(A4,1),Transactions!$E:$E,"Income",Transactions!$F:$F,"&lt;&gt;Cancelled")</f>
        <v/>
      </c>
      <c r="F4" s="10">
        <f>SUMIFS(Transactions!$H:$H,Transactions!$A:$A,"&gt;="&amp;A4,Transactions!$A:$A,"&lt;"&amp;EDATE(A4,1),Transactions!$E:$E,"Expense",Transactions!$F:$F,"&lt;&gt;Cancelled")</f>
        <v/>
      </c>
      <c r="G4" s="10">
        <f>E4-F4</f>
        <v/>
      </c>
      <c r="H4" s="10">
        <f>E4-B4</f>
        <v/>
      </c>
      <c r="I4" s="10">
        <f>F4-C4</f>
        <v/>
      </c>
      <c r="J4" s="10">
        <f>G4-D4</f>
        <v/>
      </c>
    </row>
    <row r="5">
      <c r="A5" s="17" t="n">
        <v>46082</v>
      </c>
      <c r="B5" s="10" t="n">
        <v>15000</v>
      </c>
      <c r="C5" s="10" t="n">
        <v>9000</v>
      </c>
      <c r="D5" s="10">
        <f>B5-C5</f>
        <v/>
      </c>
      <c r="E5" s="10">
        <f>SUMIFS(Transactions!$H:$H,Transactions!$A:$A,"&gt;="&amp;A5,Transactions!$A:$A,"&lt;"&amp;EDATE(A5,1),Transactions!$E:$E,"Income",Transactions!$F:$F,"&lt;&gt;Cancelled")</f>
        <v/>
      </c>
      <c r="F5" s="10">
        <f>SUMIFS(Transactions!$H:$H,Transactions!$A:$A,"&gt;="&amp;A5,Transactions!$A:$A,"&lt;"&amp;EDATE(A5,1),Transactions!$E:$E,"Expense",Transactions!$F:$F,"&lt;&gt;Cancelled")</f>
        <v/>
      </c>
      <c r="G5" s="10">
        <f>E5-F5</f>
        <v/>
      </c>
      <c r="H5" s="10">
        <f>E5-B5</f>
        <v/>
      </c>
      <c r="I5" s="10">
        <f>F5-C5</f>
        <v/>
      </c>
      <c r="J5" s="10">
        <f>G5-D5</f>
        <v/>
      </c>
    </row>
    <row r="6">
      <c r="A6" s="17" t="n">
        <v>46113</v>
      </c>
      <c r="B6" s="10" t="n">
        <v>15000</v>
      </c>
      <c r="C6" s="10" t="n">
        <v>9000</v>
      </c>
      <c r="D6" s="10">
        <f>B6-C6</f>
        <v/>
      </c>
      <c r="E6" s="10">
        <f>SUMIFS(Transactions!$H:$H,Transactions!$A:$A,"&gt;="&amp;A6,Transactions!$A:$A,"&lt;"&amp;EDATE(A6,1),Transactions!$E:$E,"Income",Transactions!$F:$F,"&lt;&gt;Cancelled")</f>
        <v/>
      </c>
      <c r="F6" s="10">
        <f>SUMIFS(Transactions!$H:$H,Transactions!$A:$A,"&gt;="&amp;A6,Transactions!$A:$A,"&lt;"&amp;EDATE(A6,1),Transactions!$E:$E,"Expense",Transactions!$F:$F,"&lt;&gt;Cancelled")</f>
        <v/>
      </c>
      <c r="G6" s="10">
        <f>E6-F6</f>
        <v/>
      </c>
      <c r="H6" s="10">
        <f>E6-B6</f>
        <v/>
      </c>
      <c r="I6" s="10">
        <f>F6-C6</f>
        <v/>
      </c>
      <c r="J6" s="10">
        <f>G6-D6</f>
        <v/>
      </c>
    </row>
    <row r="7">
      <c r="A7" s="17" t="n">
        <v>46143</v>
      </c>
      <c r="B7" s="10" t="n">
        <v>15000</v>
      </c>
      <c r="C7" s="10" t="n">
        <v>9000</v>
      </c>
      <c r="D7" s="10">
        <f>B7-C7</f>
        <v/>
      </c>
      <c r="E7" s="10">
        <f>SUMIFS(Transactions!$H:$H,Transactions!$A:$A,"&gt;="&amp;A7,Transactions!$A:$A,"&lt;"&amp;EDATE(A7,1),Transactions!$E:$E,"Income",Transactions!$F:$F,"&lt;&gt;Cancelled")</f>
        <v/>
      </c>
      <c r="F7" s="10">
        <f>SUMIFS(Transactions!$H:$H,Transactions!$A:$A,"&gt;="&amp;A7,Transactions!$A:$A,"&lt;"&amp;EDATE(A7,1),Transactions!$E:$E,"Expense",Transactions!$F:$F,"&lt;&gt;Cancelled")</f>
        <v/>
      </c>
      <c r="G7" s="10">
        <f>E7-F7</f>
        <v/>
      </c>
      <c r="H7" s="10">
        <f>E7-B7</f>
        <v/>
      </c>
      <c r="I7" s="10">
        <f>F7-C7</f>
        <v/>
      </c>
      <c r="J7" s="10">
        <f>G7-D7</f>
        <v/>
      </c>
    </row>
    <row r="8">
      <c r="A8" s="17" t="n">
        <v>46174</v>
      </c>
      <c r="B8" s="10" t="n">
        <v>15000</v>
      </c>
      <c r="C8" s="10" t="n">
        <v>9000</v>
      </c>
      <c r="D8" s="10">
        <f>B8-C8</f>
        <v/>
      </c>
      <c r="E8" s="10">
        <f>SUMIFS(Transactions!$H:$H,Transactions!$A:$A,"&gt;="&amp;A8,Transactions!$A:$A,"&lt;"&amp;EDATE(A8,1),Transactions!$E:$E,"Income",Transactions!$F:$F,"&lt;&gt;Cancelled")</f>
        <v/>
      </c>
      <c r="F8" s="10">
        <f>SUMIFS(Transactions!$H:$H,Transactions!$A:$A,"&gt;="&amp;A8,Transactions!$A:$A,"&lt;"&amp;EDATE(A8,1),Transactions!$E:$E,"Expense",Transactions!$F:$F,"&lt;&gt;Cancelled")</f>
        <v/>
      </c>
      <c r="G8" s="10">
        <f>E8-F8</f>
        <v/>
      </c>
      <c r="H8" s="10">
        <f>E8-B8</f>
        <v/>
      </c>
      <c r="I8" s="10">
        <f>F8-C8</f>
        <v/>
      </c>
      <c r="J8" s="10">
        <f>G8-D8</f>
        <v/>
      </c>
    </row>
    <row r="9">
      <c r="A9" s="17" t="n">
        <v>46204</v>
      </c>
      <c r="B9" s="10" t="n">
        <v>15000</v>
      </c>
      <c r="C9" s="10" t="n">
        <v>9000</v>
      </c>
      <c r="D9" s="10">
        <f>B9-C9</f>
        <v/>
      </c>
      <c r="E9" s="10">
        <f>SUMIFS(Transactions!$H:$H,Transactions!$A:$A,"&gt;="&amp;A9,Transactions!$A:$A,"&lt;"&amp;EDATE(A9,1),Transactions!$E:$E,"Income",Transactions!$F:$F,"&lt;&gt;Cancelled")</f>
        <v/>
      </c>
      <c r="F9" s="10">
        <f>SUMIFS(Transactions!$H:$H,Transactions!$A:$A,"&gt;="&amp;A9,Transactions!$A:$A,"&lt;"&amp;EDATE(A9,1),Transactions!$E:$E,"Expense",Transactions!$F:$F,"&lt;&gt;Cancelled")</f>
        <v/>
      </c>
      <c r="G9" s="10">
        <f>E9-F9</f>
        <v/>
      </c>
      <c r="H9" s="10">
        <f>E9-B9</f>
        <v/>
      </c>
      <c r="I9" s="10">
        <f>F9-C9</f>
        <v/>
      </c>
      <c r="J9" s="10">
        <f>G9-D9</f>
        <v/>
      </c>
    </row>
    <row r="10">
      <c r="A10" s="17" t="n">
        <v>46235</v>
      </c>
      <c r="B10" s="10" t="n">
        <v>15000</v>
      </c>
      <c r="C10" s="10" t="n">
        <v>9000</v>
      </c>
      <c r="D10" s="10">
        <f>B10-C10</f>
        <v/>
      </c>
      <c r="E10" s="10">
        <f>SUMIFS(Transactions!$H:$H,Transactions!$A:$A,"&gt;="&amp;A10,Transactions!$A:$A,"&lt;"&amp;EDATE(A10,1),Transactions!$E:$E,"Income",Transactions!$F:$F,"&lt;&gt;Cancelled")</f>
        <v/>
      </c>
      <c r="F10" s="10">
        <f>SUMIFS(Transactions!$H:$H,Transactions!$A:$A,"&gt;="&amp;A10,Transactions!$A:$A,"&lt;"&amp;EDATE(A10,1),Transactions!$E:$E,"Expense",Transactions!$F:$F,"&lt;&gt;Cancelled")</f>
        <v/>
      </c>
      <c r="G10" s="10">
        <f>E10-F10</f>
        <v/>
      </c>
      <c r="H10" s="10">
        <f>E10-B10</f>
        <v/>
      </c>
      <c r="I10" s="10">
        <f>F10-C10</f>
        <v/>
      </c>
      <c r="J10" s="10">
        <f>G10-D10</f>
        <v/>
      </c>
    </row>
    <row r="11">
      <c r="A11" s="17" t="n">
        <v>46266</v>
      </c>
      <c r="B11" s="10" t="n">
        <v>15000</v>
      </c>
      <c r="C11" s="10" t="n">
        <v>9000</v>
      </c>
      <c r="D11" s="10">
        <f>B11-C11</f>
        <v/>
      </c>
      <c r="E11" s="10">
        <f>SUMIFS(Transactions!$H:$H,Transactions!$A:$A,"&gt;="&amp;A11,Transactions!$A:$A,"&lt;"&amp;EDATE(A11,1),Transactions!$E:$E,"Income",Transactions!$F:$F,"&lt;&gt;Cancelled")</f>
        <v/>
      </c>
      <c r="F11" s="10">
        <f>SUMIFS(Transactions!$H:$H,Transactions!$A:$A,"&gt;="&amp;A11,Transactions!$A:$A,"&lt;"&amp;EDATE(A11,1),Transactions!$E:$E,"Expense",Transactions!$F:$F,"&lt;&gt;Cancelled")</f>
        <v/>
      </c>
      <c r="G11" s="10">
        <f>E11-F11</f>
        <v/>
      </c>
      <c r="H11" s="10">
        <f>E11-B11</f>
        <v/>
      </c>
      <c r="I11" s="10">
        <f>F11-C11</f>
        <v/>
      </c>
      <c r="J11" s="10">
        <f>G11-D11</f>
        <v/>
      </c>
    </row>
    <row r="12">
      <c r="A12" s="17" t="n">
        <v>46296</v>
      </c>
      <c r="B12" s="10" t="n">
        <v>15000</v>
      </c>
      <c r="C12" s="10" t="n">
        <v>9000</v>
      </c>
      <c r="D12" s="10">
        <f>B12-C12</f>
        <v/>
      </c>
      <c r="E12" s="10">
        <f>SUMIFS(Transactions!$H:$H,Transactions!$A:$A,"&gt;="&amp;A12,Transactions!$A:$A,"&lt;"&amp;EDATE(A12,1),Transactions!$E:$E,"Income",Transactions!$F:$F,"&lt;&gt;Cancelled")</f>
        <v/>
      </c>
      <c r="F12" s="10">
        <f>SUMIFS(Transactions!$H:$H,Transactions!$A:$A,"&gt;="&amp;A12,Transactions!$A:$A,"&lt;"&amp;EDATE(A12,1),Transactions!$E:$E,"Expense",Transactions!$F:$F,"&lt;&gt;Cancelled")</f>
        <v/>
      </c>
      <c r="G12" s="10">
        <f>E12-F12</f>
        <v/>
      </c>
      <c r="H12" s="10">
        <f>E12-B12</f>
        <v/>
      </c>
      <c r="I12" s="10">
        <f>F12-C12</f>
        <v/>
      </c>
      <c r="J12" s="10">
        <f>G12-D12</f>
        <v/>
      </c>
    </row>
    <row r="13">
      <c r="A13" s="17" t="n">
        <v>46327</v>
      </c>
      <c r="B13" s="10" t="n">
        <v>15000</v>
      </c>
      <c r="C13" s="10" t="n">
        <v>9000</v>
      </c>
      <c r="D13" s="10">
        <f>B13-C13</f>
        <v/>
      </c>
      <c r="E13" s="10">
        <f>SUMIFS(Transactions!$H:$H,Transactions!$A:$A,"&gt;="&amp;A13,Transactions!$A:$A,"&lt;"&amp;EDATE(A13,1),Transactions!$E:$E,"Income",Transactions!$F:$F,"&lt;&gt;Cancelled")</f>
        <v/>
      </c>
      <c r="F13" s="10">
        <f>SUMIFS(Transactions!$H:$H,Transactions!$A:$A,"&gt;="&amp;A13,Transactions!$A:$A,"&lt;"&amp;EDATE(A13,1),Transactions!$E:$E,"Expense",Transactions!$F:$F,"&lt;&gt;Cancelled")</f>
        <v/>
      </c>
      <c r="G13" s="10">
        <f>E13-F13</f>
        <v/>
      </c>
      <c r="H13" s="10">
        <f>E13-B13</f>
        <v/>
      </c>
      <c r="I13" s="10">
        <f>F13-C13</f>
        <v/>
      </c>
      <c r="J13" s="10">
        <f>G13-D13</f>
        <v/>
      </c>
    </row>
    <row r="14">
      <c r="A14" s="17" t="n">
        <v>46357</v>
      </c>
      <c r="B14" s="10" t="n">
        <v>15000</v>
      </c>
      <c r="C14" s="10" t="n">
        <v>9000</v>
      </c>
      <c r="D14" s="10">
        <f>B14-C14</f>
        <v/>
      </c>
      <c r="E14" s="10">
        <f>SUMIFS(Transactions!$H:$H,Transactions!$A:$A,"&gt;="&amp;A14,Transactions!$A:$A,"&lt;"&amp;EDATE(A14,1),Transactions!$E:$E,"Income",Transactions!$F:$F,"&lt;&gt;Cancelled")</f>
        <v/>
      </c>
      <c r="F14" s="10">
        <f>SUMIFS(Transactions!$H:$H,Transactions!$A:$A,"&gt;="&amp;A14,Transactions!$A:$A,"&lt;"&amp;EDATE(A14,1),Transactions!$E:$E,"Expense",Transactions!$F:$F,"&lt;&gt;Cancelled")</f>
        <v/>
      </c>
      <c r="G14" s="10">
        <f>E14-F14</f>
        <v/>
      </c>
      <c r="H14" s="10">
        <f>E14-B14</f>
        <v/>
      </c>
      <c r="I14" s="10">
        <f>F14-C14</f>
        <v/>
      </c>
      <c r="J14" s="10">
        <f>G14-D14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2" customWidth="1" min="4" max="4"/>
    <col width="21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34" customHeight="1">
      <c r="A1" s="1" t="inlineStr">
        <is>
          <t>Monthly Financial Summary</t>
        </is>
      </c>
    </row>
    <row r="2">
      <c r="A2" s="16" t="inlineStr">
        <is>
          <t>Revenue, expenses, profit, margin, budget variance and cumulative profit.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</row>
    <row r="3">
      <c r="A3" s="17" t="n">
        <v>46023</v>
      </c>
      <c r="B3" s="10">
        <f>Budget!E3</f>
        <v/>
      </c>
      <c r="C3" s="10">
        <f>Budget!F3</f>
        <v/>
      </c>
      <c r="D3" s="10">
        <f>B3-C3</f>
        <v/>
      </c>
      <c r="E3" s="18">
        <f>IFERROR(D3/B3,0)</f>
        <v/>
      </c>
      <c r="F3" s="10">
        <f>Budget!B3</f>
        <v/>
      </c>
      <c r="G3" s="10">
        <f>Budget!C3</f>
        <v/>
      </c>
      <c r="H3" s="10">
        <f>Budget!D3</f>
        <v/>
      </c>
      <c r="I3" s="10">
        <f>B3-F3</f>
        <v/>
      </c>
      <c r="J3" s="10">
        <f>C3-G3</f>
        <v/>
      </c>
      <c r="K3" s="10">
        <f>D3-H3</f>
        <v/>
      </c>
      <c r="L3" s="10">
        <f>SUM($D$3:D3)</f>
        <v/>
      </c>
    </row>
    <row r="4">
      <c r="A4" s="17" t="n">
        <v>46054</v>
      </c>
      <c r="B4" s="10">
        <f>Budget!E4</f>
        <v/>
      </c>
      <c r="C4" s="10">
        <f>Budget!F4</f>
        <v/>
      </c>
      <c r="D4" s="10">
        <f>B4-C4</f>
        <v/>
      </c>
      <c r="E4" s="18">
        <f>IFERROR(D4/B4,0)</f>
        <v/>
      </c>
      <c r="F4" s="10">
        <f>Budget!B4</f>
        <v/>
      </c>
      <c r="G4" s="10">
        <f>Budget!C4</f>
        <v/>
      </c>
      <c r="H4" s="10">
        <f>Budget!D4</f>
        <v/>
      </c>
      <c r="I4" s="10">
        <f>B4-F4</f>
        <v/>
      </c>
      <c r="J4" s="10">
        <f>C4-G4</f>
        <v/>
      </c>
      <c r="K4" s="10">
        <f>D4-H4</f>
        <v/>
      </c>
      <c r="L4" s="10">
        <f>SUM($D$3:D4)</f>
        <v/>
      </c>
    </row>
    <row r="5">
      <c r="A5" s="17" t="n">
        <v>46082</v>
      </c>
      <c r="B5" s="10">
        <f>Budget!E5</f>
        <v/>
      </c>
      <c r="C5" s="10">
        <f>Budget!F5</f>
        <v/>
      </c>
      <c r="D5" s="10">
        <f>B5-C5</f>
        <v/>
      </c>
      <c r="E5" s="18">
        <f>IFERROR(D5/B5,0)</f>
        <v/>
      </c>
      <c r="F5" s="10">
        <f>Budget!B5</f>
        <v/>
      </c>
      <c r="G5" s="10">
        <f>Budget!C5</f>
        <v/>
      </c>
      <c r="H5" s="10">
        <f>Budget!D5</f>
        <v/>
      </c>
      <c r="I5" s="10">
        <f>B5-F5</f>
        <v/>
      </c>
      <c r="J5" s="10">
        <f>C5-G5</f>
        <v/>
      </c>
      <c r="K5" s="10">
        <f>D5-H5</f>
        <v/>
      </c>
      <c r="L5" s="10">
        <f>SUM($D$3:D5)</f>
        <v/>
      </c>
    </row>
    <row r="6">
      <c r="A6" s="17" t="n">
        <v>46113</v>
      </c>
      <c r="B6" s="10">
        <f>Budget!E6</f>
        <v/>
      </c>
      <c r="C6" s="10">
        <f>Budget!F6</f>
        <v/>
      </c>
      <c r="D6" s="10">
        <f>B6-C6</f>
        <v/>
      </c>
      <c r="E6" s="18">
        <f>IFERROR(D6/B6,0)</f>
        <v/>
      </c>
      <c r="F6" s="10">
        <f>Budget!B6</f>
        <v/>
      </c>
      <c r="G6" s="10">
        <f>Budget!C6</f>
        <v/>
      </c>
      <c r="H6" s="10">
        <f>Budget!D6</f>
        <v/>
      </c>
      <c r="I6" s="10">
        <f>B6-F6</f>
        <v/>
      </c>
      <c r="J6" s="10">
        <f>C6-G6</f>
        <v/>
      </c>
      <c r="K6" s="10">
        <f>D6-H6</f>
        <v/>
      </c>
      <c r="L6" s="10">
        <f>SUM($D$3:D6)</f>
        <v/>
      </c>
    </row>
    <row r="7">
      <c r="A7" s="17" t="n">
        <v>46143</v>
      </c>
      <c r="B7" s="10">
        <f>Budget!E7</f>
        <v/>
      </c>
      <c r="C7" s="10">
        <f>Budget!F7</f>
        <v/>
      </c>
      <c r="D7" s="10">
        <f>B7-C7</f>
        <v/>
      </c>
      <c r="E7" s="18">
        <f>IFERROR(D7/B7,0)</f>
        <v/>
      </c>
      <c r="F7" s="10">
        <f>Budget!B7</f>
        <v/>
      </c>
      <c r="G7" s="10">
        <f>Budget!C7</f>
        <v/>
      </c>
      <c r="H7" s="10">
        <f>Budget!D7</f>
        <v/>
      </c>
      <c r="I7" s="10">
        <f>B7-F7</f>
        <v/>
      </c>
      <c r="J7" s="10">
        <f>C7-G7</f>
        <v/>
      </c>
      <c r="K7" s="10">
        <f>D7-H7</f>
        <v/>
      </c>
      <c r="L7" s="10">
        <f>SUM($D$3:D7)</f>
        <v/>
      </c>
    </row>
    <row r="8">
      <c r="A8" s="17" t="n">
        <v>46174</v>
      </c>
      <c r="B8" s="10">
        <f>Budget!E8</f>
        <v/>
      </c>
      <c r="C8" s="10">
        <f>Budget!F8</f>
        <v/>
      </c>
      <c r="D8" s="10">
        <f>B8-C8</f>
        <v/>
      </c>
      <c r="E8" s="18">
        <f>IFERROR(D8/B8,0)</f>
        <v/>
      </c>
      <c r="F8" s="10">
        <f>Budget!B8</f>
        <v/>
      </c>
      <c r="G8" s="10">
        <f>Budget!C8</f>
        <v/>
      </c>
      <c r="H8" s="10">
        <f>Budget!D8</f>
        <v/>
      </c>
      <c r="I8" s="10">
        <f>B8-F8</f>
        <v/>
      </c>
      <c r="J8" s="10">
        <f>C8-G8</f>
        <v/>
      </c>
      <c r="K8" s="10">
        <f>D8-H8</f>
        <v/>
      </c>
      <c r="L8" s="10">
        <f>SUM($D$3:D8)</f>
        <v/>
      </c>
    </row>
    <row r="9">
      <c r="A9" s="17" t="n">
        <v>46204</v>
      </c>
      <c r="B9" s="10">
        <f>Budget!E9</f>
        <v/>
      </c>
      <c r="C9" s="10">
        <f>Budget!F9</f>
        <v/>
      </c>
      <c r="D9" s="10">
        <f>B9-C9</f>
        <v/>
      </c>
      <c r="E9" s="18">
        <f>IFERROR(D9/B9,0)</f>
        <v/>
      </c>
      <c r="F9" s="10">
        <f>Budget!B9</f>
        <v/>
      </c>
      <c r="G9" s="10">
        <f>Budget!C9</f>
        <v/>
      </c>
      <c r="H9" s="10">
        <f>Budget!D9</f>
        <v/>
      </c>
      <c r="I9" s="10">
        <f>B9-F9</f>
        <v/>
      </c>
      <c r="J9" s="10">
        <f>C9-G9</f>
        <v/>
      </c>
      <c r="K9" s="10">
        <f>D9-H9</f>
        <v/>
      </c>
      <c r="L9" s="10">
        <f>SUM($D$3:D9)</f>
        <v/>
      </c>
    </row>
    <row r="10">
      <c r="A10" s="17" t="n">
        <v>46235</v>
      </c>
      <c r="B10" s="10">
        <f>Budget!E10</f>
        <v/>
      </c>
      <c r="C10" s="10">
        <f>Budget!F10</f>
        <v/>
      </c>
      <c r="D10" s="10">
        <f>B10-C10</f>
        <v/>
      </c>
      <c r="E10" s="18">
        <f>IFERROR(D10/B10,0)</f>
        <v/>
      </c>
      <c r="F10" s="10">
        <f>Budget!B10</f>
        <v/>
      </c>
      <c r="G10" s="10">
        <f>Budget!C10</f>
        <v/>
      </c>
      <c r="H10" s="10">
        <f>Budget!D10</f>
        <v/>
      </c>
      <c r="I10" s="10">
        <f>B10-F10</f>
        <v/>
      </c>
      <c r="J10" s="10">
        <f>C10-G10</f>
        <v/>
      </c>
      <c r="K10" s="10">
        <f>D10-H10</f>
        <v/>
      </c>
      <c r="L10" s="10">
        <f>SUM($D$3:D10)</f>
        <v/>
      </c>
    </row>
    <row r="11">
      <c r="A11" s="17" t="n">
        <v>46266</v>
      </c>
      <c r="B11" s="10">
        <f>Budget!E11</f>
        <v/>
      </c>
      <c r="C11" s="10">
        <f>Budget!F11</f>
        <v/>
      </c>
      <c r="D11" s="10">
        <f>B11-C11</f>
        <v/>
      </c>
      <c r="E11" s="18">
        <f>IFERROR(D11/B11,0)</f>
        <v/>
      </c>
      <c r="F11" s="10">
        <f>Budget!B11</f>
        <v/>
      </c>
      <c r="G11" s="10">
        <f>Budget!C11</f>
        <v/>
      </c>
      <c r="H11" s="10">
        <f>Budget!D11</f>
        <v/>
      </c>
      <c r="I11" s="10">
        <f>B11-F11</f>
        <v/>
      </c>
      <c r="J11" s="10">
        <f>C11-G11</f>
        <v/>
      </c>
      <c r="K11" s="10">
        <f>D11-H11</f>
        <v/>
      </c>
      <c r="L11" s="10">
        <f>SUM($D$3:D11)</f>
        <v/>
      </c>
    </row>
    <row r="12">
      <c r="A12" s="17" t="n">
        <v>46296</v>
      </c>
      <c r="B12" s="10">
        <f>Budget!E12</f>
        <v/>
      </c>
      <c r="C12" s="10">
        <f>Budget!F12</f>
        <v/>
      </c>
      <c r="D12" s="10">
        <f>B12-C12</f>
        <v/>
      </c>
      <c r="E12" s="18">
        <f>IFERROR(D12/B12,0)</f>
        <v/>
      </c>
      <c r="F12" s="10">
        <f>Budget!B12</f>
        <v/>
      </c>
      <c r="G12" s="10">
        <f>Budget!C12</f>
        <v/>
      </c>
      <c r="H12" s="10">
        <f>Budget!D12</f>
        <v/>
      </c>
      <c r="I12" s="10">
        <f>B12-F12</f>
        <v/>
      </c>
      <c r="J12" s="10">
        <f>C12-G12</f>
        <v/>
      </c>
      <c r="K12" s="10">
        <f>D12-H12</f>
        <v/>
      </c>
      <c r="L12" s="10">
        <f>SUM($D$3:D12)</f>
        <v/>
      </c>
    </row>
    <row r="13">
      <c r="A13" s="17" t="n">
        <v>46327</v>
      </c>
      <c r="B13" s="10">
        <f>Budget!E13</f>
        <v/>
      </c>
      <c r="C13" s="10">
        <f>Budget!F13</f>
        <v/>
      </c>
      <c r="D13" s="10">
        <f>B13-C13</f>
        <v/>
      </c>
      <c r="E13" s="18">
        <f>IFERROR(D13/B13,0)</f>
        <v/>
      </c>
      <c r="F13" s="10">
        <f>Budget!B13</f>
        <v/>
      </c>
      <c r="G13" s="10">
        <f>Budget!C13</f>
        <v/>
      </c>
      <c r="H13" s="10">
        <f>Budget!D13</f>
        <v/>
      </c>
      <c r="I13" s="10">
        <f>B13-F13</f>
        <v/>
      </c>
      <c r="J13" s="10">
        <f>C13-G13</f>
        <v/>
      </c>
      <c r="K13" s="10">
        <f>D13-H13</f>
        <v/>
      </c>
      <c r="L13" s="10">
        <f>SUM($D$3:D13)</f>
        <v/>
      </c>
    </row>
    <row r="14">
      <c r="A14" s="17" t="n">
        <v>46357</v>
      </c>
      <c r="B14" s="10">
        <f>Budget!E14</f>
        <v/>
      </c>
      <c r="C14" s="10">
        <f>Budget!F14</f>
        <v/>
      </c>
      <c r="D14" s="10">
        <f>B14-C14</f>
        <v/>
      </c>
      <c r="E14" s="18">
        <f>IFERROR(D14/B14,0)</f>
        <v/>
      </c>
      <c r="F14" s="10">
        <f>Budget!B14</f>
        <v/>
      </c>
      <c r="G14" s="10">
        <f>Budget!C14</f>
        <v/>
      </c>
      <c r="H14" s="10">
        <f>Budget!D14</f>
        <v/>
      </c>
      <c r="I14" s="10">
        <f>B14-F14</f>
        <v/>
      </c>
      <c r="J14" s="10">
        <f>C14-G14</f>
        <v/>
      </c>
      <c r="K14" s="10">
        <f>D14-H14</f>
        <v/>
      </c>
      <c r="L14" s="10">
        <f>SUM($D$3:D14)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2" customWidth="1" min="9" max="9"/>
    <col width="12" customWidth="1" min="10" max="10"/>
  </cols>
  <sheetData>
    <row r="1" ht="34" customHeight="1">
      <c r="A1" s="1" t="inlineStr">
        <is>
          <t>Accounts Receivable</t>
        </is>
      </c>
    </row>
    <row r="2">
      <c r="A2" s="16" t="inlineStr">
        <is>
          <t>Track invoices, collections and aging.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>
      <c r="A3" s="9" t="inlineStr">
        <is>
          <t>INV-1005</t>
        </is>
      </c>
      <c r="B3" s="9" t="inlineStr">
        <is>
          <t>Acme Consulting</t>
        </is>
      </c>
      <c r="C3" s="27" t="n">
        <v>46082</v>
      </c>
      <c r="D3" s="27" t="n">
        <v>46112</v>
      </c>
      <c r="E3" s="10" t="n">
        <v>1800</v>
      </c>
      <c r="F3" s="10" t="n">
        <v>0</v>
      </c>
      <c r="G3" s="10">
        <f>E3-F3</f>
        <v/>
      </c>
      <c r="I3" s="9">
        <f>IF(OR(G3=0,H3="Paid"),0,MAX(0,TODAY()-D3))</f>
        <v/>
      </c>
    </row>
    <row r="4">
      <c r="A4" s="9" t="inlineStr">
        <is>
          <t>INV-1006</t>
        </is>
      </c>
      <c r="B4" s="9" t="inlineStr">
        <is>
          <t>Northstar Studio</t>
        </is>
      </c>
      <c r="C4" s="27" t="n">
        <v>46086</v>
      </c>
      <c r="D4" s="27" t="n">
        <v>46101</v>
      </c>
      <c r="E4" s="10" t="n">
        <v>1200</v>
      </c>
      <c r="F4" s="10" t="n">
        <v>600</v>
      </c>
      <c r="G4" s="10">
        <f>E4-F4</f>
        <v/>
      </c>
      <c r="H4" s="9" t="inlineStr">
        <is>
          <t>Status</t>
        </is>
      </c>
      <c r="I4" s="9">
        <f>IF(OR(G4=0,H4="Paid"),0,MAX(0,TODAY()-D4))</f>
        <v/>
      </c>
      <c r="J4" s="9" t="inlineStr">
        <is>
          <t>Notes</t>
        </is>
      </c>
    </row>
    <row r="5">
      <c r="A5" s="9" t="inlineStr">
        <is>
          <t>INV-1007</t>
        </is>
      </c>
      <c r="B5" s="9" t="inlineStr">
        <is>
          <t>BrightPath LLC</t>
        </is>
      </c>
      <c r="C5" s="27" t="n">
        <v>46091</v>
      </c>
      <c r="D5" s="27" t="n">
        <v>46122</v>
      </c>
      <c r="E5" s="10" t="n">
        <v>3000</v>
      </c>
      <c r="F5" s="10" t="n">
        <v>0</v>
      </c>
      <c r="G5" s="10">
        <f>E5-F5</f>
        <v/>
      </c>
      <c r="I5" s="9">
        <f>IF(OR(G5=0,H5="Paid"),0,MAX(0,TODAY()-D5))</f>
        <v/>
      </c>
    </row>
    <row r="6">
      <c r="A6" s="9" t="inlineStr">
        <is>
          <t>INV-1008</t>
        </is>
      </c>
      <c r="B6" s="9" t="inlineStr">
        <is>
          <t>Greenline Retail</t>
        </is>
      </c>
      <c r="C6" s="27" t="n">
        <v>46093</v>
      </c>
      <c r="D6" s="27" t="n">
        <v>46106</v>
      </c>
      <c r="E6" s="10" t="n">
        <v>750</v>
      </c>
      <c r="F6" s="10" t="n">
        <v>750</v>
      </c>
      <c r="G6" s="10">
        <f>E6-F6</f>
        <v/>
      </c>
      <c r="I6" s="9">
        <f>IF(OR(G6=0,H6="Paid"),0,MAX(0,TODAY()-D6))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2" customWidth="1" min="9" max="9"/>
    <col width="12" customWidth="1" min="10" max="10"/>
  </cols>
  <sheetData>
    <row r="1" ht="34" customHeight="1">
      <c r="A1" s="1" t="inlineStr">
        <is>
          <t>Accounts Payable</t>
        </is>
      </c>
    </row>
    <row r="2">
      <c r="A2" s="16" t="inlineStr">
        <is>
          <t>Track supplier bills and upcoming obligations.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>
      <c r="A3" s="9" t="inlineStr">
        <is>
          <t>BILL-3001</t>
        </is>
      </c>
      <c r="B3" s="9" t="inlineStr">
        <is>
          <t>Cloud Software</t>
        </is>
      </c>
      <c r="C3" s="27" t="n">
        <v>46082</v>
      </c>
      <c r="D3" s="27" t="n">
        <v>46096</v>
      </c>
      <c r="E3" s="10" t="n">
        <v>99</v>
      </c>
      <c r="F3" s="10" t="n">
        <v>99</v>
      </c>
      <c r="G3" s="10">
        <f>E3-F3</f>
        <v/>
      </c>
      <c r="H3" s="9" t="inlineStr">
        <is>
          <t>Normal</t>
        </is>
      </c>
      <c r="I3" s="9">
        <f>IF(OR(G3=0,H3="Paid"),0,MAX(0,TODAY()-D3))</f>
        <v/>
      </c>
    </row>
    <row r="4">
      <c r="A4" s="9" t="inlineStr">
        <is>
          <t>BILL-3002</t>
        </is>
      </c>
      <c r="B4" s="9" t="inlineStr">
        <is>
          <t>Ad Platform</t>
        </is>
      </c>
      <c r="C4" s="27" t="n">
        <v>46086</v>
      </c>
      <c r="D4" s="27" t="n">
        <v>46099</v>
      </c>
      <c r="E4" s="10" t="n">
        <v>450</v>
      </c>
      <c r="F4" s="10" t="n">
        <v>0</v>
      </c>
      <c r="G4" s="10">
        <f>E4-F4</f>
        <v/>
      </c>
      <c r="H4" s="9" t="inlineStr">
        <is>
          <t>High</t>
        </is>
      </c>
      <c r="I4" s="9">
        <f>IF(OR(G4=0,H4="Paid"),0,MAX(0,TODAY()-D4))</f>
        <v/>
      </c>
      <c r="J4" s="9" t="inlineStr">
        <is>
          <t>Priority</t>
        </is>
      </c>
    </row>
    <row r="5">
      <c r="A5" s="9" t="inlineStr">
        <is>
          <t>BILL-3003</t>
        </is>
      </c>
      <c r="B5" s="9" t="inlineStr">
        <is>
          <t>Accountant</t>
        </is>
      </c>
      <c r="C5" s="27" t="n">
        <v>46091</v>
      </c>
      <c r="D5" s="27" t="n">
        <v>46111</v>
      </c>
      <c r="E5" s="10" t="n">
        <v>600</v>
      </c>
      <c r="F5" s="10" t="n">
        <v>0</v>
      </c>
      <c r="G5" s="10">
        <f>E5-F5</f>
        <v/>
      </c>
      <c r="H5" s="9" t="inlineStr">
        <is>
          <t>Medium</t>
        </is>
      </c>
      <c r="I5" s="9">
        <f>IF(OR(G5=0,H5="Paid"),0,MAX(0,TODAY()-D5))</f>
        <v/>
      </c>
    </row>
    <row r="6">
      <c r="A6" s="9" t="inlineStr">
        <is>
          <t>BILL-3004</t>
        </is>
      </c>
      <c r="B6" s="9" t="inlineStr">
        <is>
          <t>Office Supplier</t>
        </is>
      </c>
      <c r="C6" s="27" t="n">
        <v>46093</v>
      </c>
      <c r="D6" s="27" t="n">
        <v>46117</v>
      </c>
      <c r="E6" s="10" t="n">
        <v>320</v>
      </c>
      <c r="F6" s="10" t="n">
        <v>0</v>
      </c>
      <c r="G6" s="10">
        <f>E6-F6</f>
        <v/>
      </c>
      <c r="H6" s="9" t="inlineStr">
        <is>
          <t>Normal</t>
        </is>
      </c>
      <c r="I6" s="9">
        <f>IF(OR(G6=0,H6="Paid"),0,MAX(0,TODAY()-D6))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19" customWidth="1" min="14" max="14"/>
  </cols>
  <sheetData>
    <row r="1" ht="34" customHeight="1">
      <c r="A1" s="1" t="inlineStr">
        <is>
          <t>Profit &amp; Loss Statement</t>
        </is>
      </c>
    </row>
    <row r="2">
      <c r="A2" s="16" t="inlineStr">
        <is>
          <t>Management P&amp;L derived from Transactions.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>
      <c r="A3" s="9" t="inlineStr">
        <is>
          <t>Revenue</t>
        </is>
      </c>
      <c r="B3" s="10">
        <f>SUMIFS(Transactions!$H:$H,Transactions!$A:$A,"&gt;="&amp;DATE(2026,1,1),Transactions!$A:$A,"&lt;"&amp;EDATE(DATE(2026,1,1),1),Transactions!$E:$E,"Income",Transactions!$F:$F,"&lt;&gt;Cancelled")</f>
        <v/>
      </c>
      <c r="C3" s="10">
        <f>SUMIFS(Transactions!$H:$H,Transactions!$A:$A,"&gt;="&amp;DATE(2026,2,1),Transactions!$A:$A,"&lt;"&amp;EDATE(DATE(2026,2,1),1),Transactions!$E:$E,"Income",Transactions!$F:$F,"&lt;&gt;Cancelled")</f>
        <v/>
      </c>
      <c r="D3" s="10">
        <f>SUMIFS(Transactions!$H:$H,Transactions!$A:$A,"&gt;="&amp;DATE(2026,3,1),Transactions!$A:$A,"&lt;"&amp;EDATE(DATE(2026,3,1),1),Transactions!$E:$E,"Income",Transactions!$F:$F,"&lt;&gt;Cancelled")</f>
        <v/>
      </c>
      <c r="E3" s="10">
        <f>SUMIFS(Transactions!$H:$H,Transactions!$A:$A,"&gt;="&amp;DATE(2026,4,1),Transactions!$A:$A,"&lt;"&amp;EDATE(DATE(2026,4,1),1),Transactions!$E:$E,"Income",Transactions!$F:$F,"&lt;&gt;Cancelled")</f>
        <v/>
      </c>
      <c r="F3" s="10">
        <f>SUMIFS(Transactions!$H:$H,Transactions!$A:$A,"&gt;="&amp;DATE(2026,5,1),Transactions!$A:$A,"&lt;"&amp;EDATE(DATE(2026,5,1),1),Transactions!$E:$E,"Income",Transactions!$F:$F,"&lt;&gt;Cancelled")</f>
        <v/>
      </c>
      <c r="G3" s="10">
        <f>SUMIFS(Transactions!$H:$H,Transactions!$A:$A,"&gt;="&amp;DATE(2026,6,1),Transactions!$A:$A,"&lt;"&amp;EDATE(DATE(2026,6,1),1),Transactions!$E:$E,"Income",Transactions!$F:$F,"&lt;&gt;Cancelled")</f>
        <v/>
      </c>
      <c r="H3" s="10">
        <f>SUMIFS(Transactions!$H:$H,Transactions!$A:$A,"&gt;="&amp;DATE(2026,7,1),Transactions!$A:$A,"&lt;"&amp;EDATE(DATE(2026,7,1),1),Transactions!$E:$E,"Income",Transactions!$F:$F,"&lt;&gt;Cancelled")</f>
        <v/>
      </c>
      <c r="I3" s="10">
        <f>SUMIFS(Transactions!$H:$H,Transactions!$A:$A,"&gt;="&amp;DATE(2026,8,1),Transactions!$A:$A,"&lt;"&amp;EDATE(DATE(2026,8,1),1),Transactions!$E:$E,"Income",Transactions!$F:$F,"&lt;&gt;Cancelled")</f>
        <v/>
      </c>
      <c r="J3" s="10">
        <f>SUMIFS(Transactions!$H:$H,Transactions!$A:$A,"&gt;="&amp;DATE(2026,9,1),Transactions!$A:$A,"&lt;"&amp;EDATE(DATE(2026,9,1),1),Transactions!$E:$E,"Income",Transactions!$F:$F,"&lt;&gt;Cancelled")</f>
        <v/>
      </c>
      <c r="K3" s="10">
        <f>SUMIFS(Transactions!$H:$H,Transactions!$A:$A,"&gt;="&amp;DATE(2026,10,1),Transactions!$A:$A,"&lt;"&amp;EDATE(DATE(2026,10,1),1),Transactions!$E:$E,"Income",Transactions!$F:$F,"&lt;&gt;Cancelled")</f>
        <v/>
      </c>
      <c r="L3" s="10">
        <f>SUMIFS(Transactions!$H:$H,Transactions!$A:$A,"&gt;="&amp;DATE(2026,11,1),Transactions!$A:$A,"&lt;"&amp;EDATE(DATE(2026,11,1),1),Transactions!$E:$E,"Income",Transactions!$F:$F,"&lt;&gt;Cancelled")</f>
        <v/>
      </c>
      <c r="M3" s="10">
        <f>SUMIFS(Transactions!$H:$H,Transactions!$A:$A,"&gt;="&amp;DATE(2026,12,1),Transactions!$A:$A,"&lt;"&amp;EDATE(DATE(2026,12,1),1),Transactions!$E:$E,"Income",Transactions!$F:$F,"&lt;&gt;Cancelled")</f>
        <v/>
      </c>
      <c r="N3" s="10">
        <f>SUM(B3:M3)</f>
        <v/>
      </c>
    </row>
    <row r="4">
      <c r="A4" s="9" t="inlineStr">
        <is>
          <t>Operating Expenses</t>
        </is>
      </c>
      <c r="B4" s="10">
        <f>SUMIFS(Transactions!$H:$H,Transactions!$A:$A,"&gt;="&amp;DATE(2026,1,1),Transactions!$A:$A,"&lt;"&amp;EDATE(DATE(2026,1,1),1),Transactions!$E:$E,"Expense",Transactions!$F:$F,"&lt;&gt;Cancelled")</f>
        <v/>
      </c>
      <c r="C4" s="10">
        <f>SUMIFS(Transactions!$H:$H,Transactions!$A:$A,"&gt;="&amp;DATE(2026,2,1),Transactions!$A:$A,"&lt;"&amp;EDATE(DATE(2026,2,1),1),Transactions!$E:$E,"Expense",Transactions!$F:$F,"&lt;&gt;Cancelled")</f>
        <v/>
      </c>
      <c r="D4" s="10">
        <f>SUMIFS(Transactions!$H:$H,Transactions!$A:$A,"&gt;="&amp;DATE(2026,3,1),Transactions!$A:$A,"&lt;"&amp;EDATE(DATE(2026,3,1),1),Transactions!$E:$E,"Expense",Transactions!$F:$F,"&lt;&gt;Cancelled")</f>
        <v/>
      </c>
      <c r="E4" s="10">
        <f>SUMIFS(Transactions!$H:$H,Transactions!$A:$A,"&gt;="&amp;DATE(2026,4,1),Transactions!$A:$A,"&lt;"&amp;EDATE(DATE(2026,4,1),1),Transactions!$E:$E,"Expense",Transactions!$F:$F,"&lt;&gt;Cancelled")</f>
        <v/>
      </c>
      <c r="F4" s="10">
        <f>SUMIFS(Transactions!$H:$H,Transactions!$A:$A,"&gt;="&amp;DATE(2026,5,1),Transactions!$A:$A,"&lt;"&amp;EDATE(DATE(2026,5,1),1),Transactions!$E:$E,"Expense",Transactions!$F:$F,"&lt;&gt;Cancelled")</f>
        <v/>
      </c>
      <c r="G4" s="10">
        <f>SUMIFS(Transactions!$H:$H,Transactions!$A:$A,"&gt;="&amp;DATE(2026,6,1),Transactions!$A:$A,"&lt;"&amp;EDATE(DATE(2026,6,1),1),Transactions!$E:$E,"Expense",Transactions!$F:$F,"&lt;&gt;Cancelled")</f>
        <v/>
      </c>
      <c r="H4" s="10">
        <f>SUMIFS(Transactions!$H:$H,Transactions!$A:$A,"&gt;="&amp;DATE(2026,7,1),Transactions!$A:$A,"&lt;"&amp;EDATE(DATE(2026,7,1),1),Transactions!$E:$E,"Expense",Transactions!$F:$F,"&lt;&gt;Cancelled")</f>
        <v/>
      </c>
      <c r="I4" s="10">
        <f>SUMIFS(Transactions!$H:$H,Transactions!$A:$A,"&gt;="&amp;DATE(2026,8,1),Transactions!$A:$A,"&lt;"&amp;EDATE(DATE(2026,8,1),1),Transactions!$E:$E,"Expense",Transactions!$F:$F,"&lt;&gt;Cancelled")</f>
        <v/>
      </c>
      <c r="J4" s="10">
        <f>SUMIFS(Transactions!$H:$H,Transactions!$A:$A,"&gt;="&amp;DATE(2026,9,1),Transactions!$A:$A,"&lt;"&amp;EDATE(DATE(2026,9,1),1),Transactions!$E:$E,"Expense",Transactions!$F:$F,"&lt;&gt;Cancelled")</f>
        <v/>
      </c>
      <c r="K4" s="10">
        <f>SUMIFS(Transactions!$H:$H,Transactions!$A:$A,"&gt;="&amp;DATE(2026,10,1),Transactions!$A:$A,"&lt;"&amp;EDATE(DATE(2026,10,1),1),Transactions!$E:$E,"Expense",Transactions!$F:$F,"&lt;&gt;Cancelled")</f>
        <v/>
      </c>
      <c r="L4" s="10">
        <f>SUMIFS(Transactions!$H:$H,Transactions!$A:$A,"&gt;="&amp;DATE(2026,11,1),Transactions!$A:$A,"&lt;"&amp;EDATE(DATE(2026,11,1),1),Transactions!$E:$E,"Expense",Transactions!$F:$F,"&lt;&gt;Cancelled")</f>
        <v/>
      </c>
      <c r="M4" s="10">
        <f>SUMIFS(Transactions!$H:$H,Transactions!$A:$A,"&gt;="&amp;DATE(2026,12,1),Transactions!$A:$A,"&lt;"&amp;EDATE(DATE(2026,12,1),1),Transactions!$E:$E,"Expense",Transactions!$F:$F,"&lt;&gt;Cancelled")</f>
        <v/>
      </c>
      <c r="N4" s="10">
        <f>SUM(B4:M4)</f>
        <v/>
      </c>
    </row>
    <row r="5">
      <c r="A5" s="9" t="inlineStr">
        <is>
          <t>Net Profit</t>
        </is>
      </c>
      <c r="B5" s="10">
        <f>B3-B4</f>
        <v/>
      </c>
      <c r="C5" s="10">
        <f>C3-C4</f>
        <v/>
      </c>
      <c r="D5" s="10">
        <f>D3-D4</f>
        <v/>
      </c>
      <c r="E5" s="10">
        <f>E3-E4</f>
        <v/>
      </c>
      <c r="F5" s="10">
        <f>F3-F4</f>
        <v/>
      </c>
      <c r="G5" s="10">
        <f>G3-G4</f>
        <v/>
      </c>
      <c r="H5" s="10">
        <f>H3-H4</f>
        <v/>
      </c>
      <c r="I5" s="10">
        <f>I3-I4</f>
        <v/>
      </c>
      <c r="J5" s="10">
        <f>J3-J4</f>
        <v/>
      </c>
      <c r="K5" s="10">
        <f>K3-K4</f>
        <v/>
      </c>
      <c r="L5" s="10">
        <f>L3-L4</f>
        <v/>
      </c>
      <c r="M5" s="10">
        <f>M3-M4</f>
        <v/>
      </c>
      <c r="N5" s="10">
        <f>SUM(B5:M5)</f>
        <v/>
      </c>
    </row>
    <row r="6"/>
    <row r="7">
      <c r="A7" s="28" t="inlineStr">
        <is>
          <t>Net Margin</t>
        </is>
      </c>
      <c r="B7" s="18">
        <f>IFERROR(B5/B3,0)</f>
        <v/>
      </c>
      <c r="C7" s="18">
        <f>IFERROR(C5/C3,0)</f>
        <v/>
      </c>
      <c r="D7" s="18">
        <f>IFERROR(D5/D3,0)</f>
        <v/>
      </c>
      <c r="E7" s="18">
        <f>IFERROR(E5/E3,0)</f>
        <v/>
      </c>
      <c r="F7" s="18">
        <f>IFERROR(F5/F3,0)</f>
        <v/>
      </c>
      <c r="G7" s="18">
        <f>IFERROR(G5/G3,0)</f>
        <v/>
      </c>
      <c r="H7" s="18">
        <f>IFERROR(H5/H3,0)</f>
        <v/>
      </c>
      <c r="I7" s="18">
        <f>IFERROR(I5/I3,0)</f>
        <v/>
      </c>
      <c r="J7" s="18">
        <f>IFERROR(J5/J3,0)</f>
        <v/>
      </c>
      <c r="K7" s="18">
        <f>IFERROR(K5/K3,0)</f>
        <v/>
      </c>
      <c r="L7" s="18">
        <f>IFERROR(L5/L3,0)</f>
        <v/>
      </c>
      <c r="M7" s="18">
        <f>IFERROR(M5/M3,0)</f>
        <v/>
      </c>
      <c r="N7" s="18">
        <f>IFERROR(N5/N3,0)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9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32" customWidth="1" min="4" max="4"/>
    <col width="12" customWidth="1" min="5" max="5"/>
    <col width="32" customWidth="1" min="6" max="6"/>
    <col width="32" customWidth="1" min="7" max="7"/>
    <col width="32" customWidth="1" min="8" max="8"/>
    <col width="12" customWidth="1" min="9" max="9"/>
    <col width="28" customWidth="1" min="10" max="10"/>
  </cols>
  <sheetData>
    <row r="1" ht="34" customHeight="1">
      <c r="A1" s="1" t="inlineStr">
        <is>
          <t>Cash Flow &amp; Forecast</t>
        </is>
      </c>
    </row>
    <row r="2">
      <c r="A2" s="16" t="inlineStr">
        <is>
          <t>Daily cash visibility and 90-day forward projection.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>
      <c r="A3" s="27">
        <f>Settings!$B$11</f>
        <v/>
      </c>
      <c r="B3" s="10">
        <f>SUM(Accounts!$D$3:$D$100)</f>
        <v/>
      </c>
      <c r="C3" s="10">
        <f>SUMIFS(Transactions!$H:$H,Transactions!$A:$A,A3,Transactions!$E:$E,"Income",Transactions!$F:$F,"&lt;&gt;Cancelled")</f>
        <v/>
      </c>
      <c r="D3" s="10">
        <f>SUMIFS(Transactions!$H:$H,Transactions!$A:$A,A3,Transactions!$E:$E,"Expense",Transactions!$F:$F,"&lt;&gt;Cancelled")</f>
        <v/>
      </c>
      <c r="E3" s="10">
        <f>C3-D3</f>
        <v/>
      </c>
      <c r="F3" s="10">
        <f>SUMIFS(Receivables!$G:$G,Receivables!$D:$D,A3,Receivables!$H:$H,"&lt;&gt;Paid")</f>
        <v/>
      </c>
      <c r="G3" s="10">
        <f>SUMIFS(Payables!$G:$G,Payables!$D:$D,A3,Payables!$H:$H,"&lt;&gt;Paid")</f>
        <v/>
      </c>
      <c r="H3" s="10">
        <f>F3-G3+(AVERAGE('Monthly Summary'!$D$3:$D$14)/30)</f>
        <v/>
      </c>
      <c r="I3" s="10">
        <f>B3+H3</f>
        <v/>
      </c>
      <c r="J3" s="10">
        <f>MAX(0,Settings!$B$12-I3)</f>
        <v/>
      </c>
    </row>
    <row r="4">
      <c r="A4" s="27">
        <f>A3+1</f>
        <v/>
      </c>
      <c r="B4" s="10">
        <f>I3</f>
        <v/>
      </c>
      <c r="C4" s="10">
        <f>SUMIFS(Transactions!$H:$H,Transactions!$A:$A,A4,Transactions!$E:$E,"Income",Transactions!$F:$F,"&lt;&gt;Cancelled")</f>
        <v/>
      </c>
      <c r="D4" s="10">
        <f>SUMIFS(Transactions!$H:$H,Transactions!$A:$A,A4,Transactions!$E:$E,"Expense",Transactions!$F:$F,"&lt;&gt;Cancelled")</f>
        <v/>
      </c>
      <c r="E4" s="10">
        <f>C4-D4</f>
        <v/>
      </c>
      <c r="F4" s="10">
        <f>SUMIFS(Receivables!$G:$G,Receivables!$D:$D,A4,Receivables!$H:$H,"&lt;&gt;Paid")</f>
        <v/>
      </c>
      <c r="G4" s="10">
        <f>SUMIFS(Payables!$G:$G,Payables!$D:$D,A4,Payables!$H:$H,"&lt;&gt;Paid")</f>
        <v/>
      </c>
      <c r="H4" s="10">
        <f>F4-G4+(AVERAGE('Monthly Summary'!$D$3:$D$14)/30)</f>
        <v/>
      </c>
      <c r="I4" s="10">
        <f>B4+H4</f>
        <v/>
      </c>
      <c r="J4" s="10">
        <f>MAX(0,Settings!$B$12-I4)</f>
        <v/>
      </c>
      <c r="L4" s="12" t="inlineStr">
        <is>
          <t>Forecast KPIs</t>
        </is>
      </c>
    </row>
    <row r="5">
      <c r="A5" s="27">
        <f>A4+1</f>
        <v/>
      </c>
      <c r="B5" s="10">
        <f>I4</f>
        <v/>
      </c>
      <c r="C5" s="10">
        <f>SUMIFS(Transactions!$H:$H,Transactions!$A:$A,A5,Transactions!$E:$E,"Income",Transactions!$F:$F,"&lt;&gt;Cancelled")</f>
        <v/>
      </c>
      <c r="D5" s="10">
        <f>SUMIFS(Transactions!$H:$H,Transactions!$A:$A,A5,Transactions!$E:$E,"Expense",Transactions!$F:$F,"&lt;&gt;Cancelled")</f>
        <v/>
      </c>
      <c r="E5" s="10">
        <f>C5-D5</f>
        <v/>
      </c>
      <c r="F5" s="10">
        <f>SUMIFS(Receivables!$G:$G,Receivables!$D:$D,A5,Receivables!$H:$H,"&lt;&gt;Paid")</f>
        <v/>
      </c>
      <c r="G5" s="10">
        <f>SUMIFS(Payables!$G:$G,Payables!$D:$D,A5,Payables!$H:$H,"&lt;&gt;Paid")</f>
        <v/>
      </c>
      <c r="H5" s="10">
        <f>F5-G5+(AVERAGE('Monthly Summary'!$D$3:$D$14)/30)</f>
        <v/>
      </c>
      <c r="I5" s="10">
        <f>B5+H5</f>
        <v/>
      </c>
      <c r="J5" s="10">
        <f>MAX(0,Settings!$B$12-I5)</f>
        <v/>
      </c>
      <c r="L5" s="9" t="inlineStr">
        <is>
          <t>Starting Cash</t>
        </is>
      </c>
      <c r="M5" s="10">
        <f>B3</f>
        <v/>
      </c>
    </row>
    <row r="6">
      <c r="A6" s="27">
        <f>A5+1</f>
        <v/>
      </c>
      <c r="B6" s="10">
        <f>I5</f>
        <v/>
      </c>
      <c r="C6" s="10">
        <f>SUMIFS(Transactions!$H:$H,Transactions!$A:$A,A6,Transactions!$E:$E,"Income",Transactions!$F:$F,"&lt;&gt;Cancelled")</f>
        <v/>
      </c>
      <c r="D6" s="10">
        <f>SUMIFS(Transactions!$H:$H,Transactions!$A:$A,A6,Transactions!$E:$E,"Expense",Transactions!$F:$F,"&lt;&gt;Cancelled")</f>
        <v/>
      </c>
      <c r="E6" s="10">
        <f>C6-D6</f>
        <v/>
      </c>
      <c r="F6" s="10">
        <f>SUMIFS(Receivables!$G:$G,Receivables!$D:$D,A6,Receivables!$H:$H,"&lt;&gt;Paid")</f>
        <v/>
      </c>
      <c r="G6" s="10">
        <f>SUMIFS(Payables!$G:$G,Payables!$D:$D,A6,Payables!$H:$H,"&lt;&gt;Paid")</f>
        <v/>
      </c>
      <c r="H6" s="10">
        <f>F6-G6+(AVERAGE('Monthly Summary'!$D$3:$D$14)/30)</f>
        <v/>
      </c>
      <c r="I6" s="10">
        <f>B6+H6</f>
        <v/>
      </c>
      <c r="J6" s="10">
        <f>MAX(0,Settings!$B$12-I6)</f>
        <v/>
      </c>
      <c r="L6" s="9" t="inlineStr">
        <is>
          <t>90-Day Ending Cash</t>
        </is>
      </c>
      <c r="M6" s="10">
        <f>I93</f>
        <v/>
      </c>
    </row>
    <row r="7">
      <c r="A7" s="27">
        <f>A6+1</f>
        <v/>
      </c>
      <c r="B7" s="10">
        <f>I6</f>
        <v/>
      </c>
      <c r="C7" s="10">
        <f>SUMIFS(Transactions!$H:$H,Transactions!$A:$A,A7,Transactions!$E:$E,"Income",Transactions!$F:$F,"&lt;&gt;Cancelled")</f>
        <v/>
      </c>
      <c r="D7" s="10">
        <f>SUMIFS(Transactions!$H:$H,Transactions!$A:$A,A7,Transactions!$E:$E,"Expense",Transactions!$F:$F,"&lt;&gt;Cancelled")</f>
        <v/>
      </c>
      <c r="E7" s="10">
        <f>C7-D7</f>
        <v/>
      </c>
      <c r="F7" s="10">
        <f>SUMIFS(Receivables!$G:$G,Receivables!$D:$D,A7,Receivables!$H:$H,"&lt;&gt;Paid")</f>
        <v/>
      </c>
      <c r="G7" s="10">
        <f>SUMIFS(Payables!$G:$G,Payables!$D:$D,A7,Payables!$H:$H,"&lt;&gt;Paid")</f>
        <v/>
      </c>
      <c r="H7" s="10">
        <f>F7-G7+(AVERAGE('Monthly Summary'!$D$3:$D$14)/30)</f>
        <v/>
      </c>
      <c r="I7" s="10">
        <f>B7+H7</f>
        <v/>
      </c>
      <c r="J7" s="10">
        <f>MAX(0,Settings!$B$12-I7)</f>
        <v/>
      </c>
      <c r="L7" s="9" t="inlineStr">
        <is>
          <t>Lowest Cash</t>
        </is>
      </c>
      <c r="M7" s="10">
        <f>MIN(I3:I93)</f>
        <v/>
      </c>
    </row>
    <row r="8">
      <c r="A8" s="27">
        <f>A7+1</f>
        <v/>
      </c>
      <c r="B8" s="10">
        <f>I7</f>
        <v/>
      </c>
      <c r="C8" s="10">
        <f>SUMIFS(Transactions!$H:$H,Transactions!$A:$A,A8,Transactions!$E:$E,"Income",Transactions!$F:$F,"&lt;&gt;Cancelled")</f>
        <v/>
      </c>
      <c r="D8" s="10">
        <f>SUMIFS(Transactions!$H:$H,Transactions!$A:$A,A8,Transactions!$E:$E,"Expense",Transactions!$F:$F,"&lt;&gt;Cancelled")</f>
        <v/>
      </c>
      <c r="E8" s="10">
        <f>C8-D8</f>
        <v/>
      </c>
      <c r="F8" s="10">
        <f>SUMIFS(Receivables!$G:$G,Receivables!$D:$D,A8,Receivables!$H:$H,"&lt;&gt;Paid")</f>
        <v/>
      </c>
      <c r="G8" s="10">
        <f>SUMIFS(Payables!$G:$G,Payables!$D:$D,A8,Payables!$H:$H,"&lt;&gt;Paid")</f>
        <v/>
      </c>
      <c r="H8" s="10">
        <f>F8-G8+(AVERAGE('Monthly Summary'!$D$3:$D$14)/30)</f>
        <v/>
      </c>
      <c r="I8" s="10">
        <f>B8+H8</f>
        <v/>
      </c>
      <c r="J8" s="10">
        <f>MAX(0,Settings!$B$12-I8)</f>
        <v/>
      </c>
      <c r="L8" s="9" t="inlineStr">
        <is>
          <t>Lowest Cash Date</t>
        </is>
      </c>
      <c r="M8" s="27">
        <f>INDEX(A3:A93,MATCH(M7,I3:I93,0))</f>
        <v/>
      </c>
    </row>
    <row r="9">
      <c r="A9" s="27">
        <f>A8+1</f>
        <v/>
      </c>
      <c r="B9" s="10">
        <f>I8</f>
        <v/>
      </c>
      <c r="C9" s="10">
        <f>SUMIFS(Transactions!$H:$H,Transactions!$A:$A,A9,Transactions!$E:$E,"Income",Transactions!$F:$F,"&lt;&gt;Cancelled")</f>
        <v/>
      </c>
      <c r="D9" s="10">
        <f>SUMIFS(Transactions!$H:$H,Transactions!$A:$A,A9,Transactions!$E:$E,"Expense",Transactions!$F:$F,"&lt;&gt;Cancelled")</f>
        <v/>
      </c>
      <c r="E9" s="10">
        <f>C9-D9</f>
        <v/>
      </c>
      <c r="F9" s="10">
        <f>SUMIFS(Receivables!$G:$G,Receivables!$D:$D,A9,Receivables!$H:$H,"&lt;&gt;Paid")</f>
        <v/>
      </c>
      <c r="G9" s="10">
        <f>SUMIFS(Payables!$G:$G,Payables!$D:$D,A9,Payables!$H:$H,"&lt;&gt;Paid")</f>
        <v/>
      </c>
      <c r="H9" s="10">
        <f>F9-G9+(AVERAGE('Monthly Summary'!$D$3:$D$14)/30)</f>
        <v/>
      </c>
      <c r="I9" s="10">
        <f>B9+H9</f>
        <v/>
      </c>
      <c r="J9" s="10">
        <f>MAX(0,Settings!$B$12-I9)</f>
        <v/>
      </c>
      <c r="L9" s="9" t="inlineStr">
        <is>
          <t>Reserve Target</t>
        </is>
      </c>
      <c r="M9" s="10">
        <f>Settings!B12</f>
        <v/>
      </c>
    </row>
    <row r="10">
      <c r="A10" s="27">
        <f>A9+1</f>
        <v/>
      </c>
      <c r="B10" s="10">
        <f>I9</f>
        <v/>
      </c>
      <c r="C10" s="10">
        <f>SUMIFS(Transactions!$H:$H,Transactions!$A:$A,A10,Transactions!$E:$E,"Income",Transactions!$F:$F,"&lt;&gt;Cancelled")</f>
        <v/>
      </c>
      <c r="D10" s="10">
        <f>SUMIFS(Transactions!$H:$H,Transactions!$A:$A,A10,Transactions!$E:$E,"Expense",Transactions!$F:$F,"&lt;&gt;Cancelled")</f>
        <v/>
      </c>
      <c r="E10" s="10">
        <f>C10-D10</f>
        <v/>
      </c>
      <c r="F10" s="10">
        <f>SUMIFS(Receivables!$G:$G,Receivables!$D:$D,A10,Receivables!$H:$H,"&lt;&gt;Paid")</f>
        <v/>
      </c>
      <c r="G10" s="10">
        <f>SUMIFS(Payables!$G:$G,Payables!$D:$D,A10,Payables!$H:$H,"&lt;&gt;Paid")</f>
        <v/>
      </c>
      <c r="H10" s="10">
        <f>F10-G10+(AVERAGE('Monthly Summary'!$D$3:$D$14)/30)</f>
        <v/>
      </c>
      <c r="I10" s="10">
        <f>B10+H10</f>
        <v/>
      </c>
      <c r="J10" s="10">
        <f>MAX(0,Settings!$B$12-I10)</f>
        <v/>
      </c>
      <c r="L10" s="9" t="inlineStr">
        <is>
          <t>Days Below Reserve</t>
        </is>
      </c>
      <c r="M10" s="11">
        <f>COUNTIF(I3:I93,"&lt;"&amp;Settings!B12)</f>
        <v/>
      </c>
    </row>
    <row r="11">
      <c r="A11" s="27">
        <f>A10+1</f>
        <v/>
      </c>
      <c r="B11" s="10">
        <f>I10</f>
        <v/>
      </c>
      <c r="C11" s="10">
        <f>SUMIFS(Transactions!$H:$H,Transactions!$A:$A,A11,Transactions!$E:$E,"Income",Transactions!$F:$F,"&lt;&gt;Cancelled")</f>
        <v/>
      </c>
      <c r="D11" s="10">
        <f>SUMIFS(Transactions!$H:$H,Transactions!$A:$A,A11,Transactions!$E:$E,"Expense",Transactions!$F:$F,"&lt;&gt;Cancelled")</f>
        <v/>
      </c>
      <c r="E11" s="10">
        <f>C11-D11</f>
        <v/>
      </c>
      <c r="F11" s="10">
        <f>SUMIFS(Receivables!$G:$G,Receivables!$D:$D,A11,Receivables!$H:$H,"&lt;&gt;Paid")</f>
        <v/>
      </c>
      <c r="G11" s="10">
        <f>SUMIFS(Payables!$G:$G,Payables!$D:$D,A11,Payables!$H:$H,"&lt;&gt;Paid")</f>
        <v/>
      </c>
      <c r="H11" s="10">
        <f>F11-G11+(AVERAGE('Monthly Summary'!$D$3:$D$14)/30)</f>
        <v/>
      </c>
      <c r="I11" s="10">
        <f>B11+H11</f>
        <v/>
      </c>
      <c r="J11" s="10">
        <f>MAX(0,Settings!$B$12-I11)</f>
        <v/>
      </c>
    </row>
    <row r="12">
      <c r="A12" s="27">
        <f>A11+1</f>
        <v/>
      </c>
      <c r="B12" s="10">
        <f>I11</f>
        <v/>
      </c>
      <c r="C12" s="10">
        <f>SUMIFS(Transactions!$H:$H,Transactions!$A:$A,A12,Transactions!$E:$E,"Income",Transactions!$F:$F,"&lt;&gt;Cancelled")</f>
        <v/>
      </c>
      <c r="D12" s="10">
        <f>SUMIFS(Transactions!$H:$H,Transactions!$A:$A,A12,Transactions!$E:$E,"Expense",Transactions!$F:$F,"&lt;&gt;Cancelled")</f>
        <v/>
      </c>
      <c r="E12" s="10">
        <f>C12-D12</f>
        <v/>
      </c>
      <c r="F12" s="10">
        <f>SUMIFS(Receivables!$G:$G,Receivables!$D:$D,A12,Receivables!$H:$H,"&lt;&gt;Paid")</f>
        <v/>
      </c>
      <c r="G12" s="10">
        <f>SUMIFS(Payables!$G:$G,Payables!$D:$D,A12,Payables!$H:$H,"&lt;&gt;Paid")</f>
        <v/>
      </c>
      <c r="H12" s="10">
        <f>F12-G12+(AVERAGE('Monthly Summary'!$D$3:$D$14)/30)</f>
        <v/>
      </c>
      <c r="I12" s="10">
        <f>B12+H12</f>
        <v/>
      </c>
      <c r="J12" s="10">
        <f>MAX(0,Settings!$B$12-I12)</f>
        <v/>
      </c>
    </row>
    <row r="13">
      <c r="A13" s="27">
        <f>A12+1</f>
        <v/>
      </c>
      <c r="B13" s="10">
        <f>I12</f>
        <v/>
      </c>
      <c r="C13" s="10">
        <f>SUMIFS(Transactions!$H:$H,Transactions!$A:$A,A13,Transactions!$E:$E,"Income",Transactions!$F:$F,"&lt;&gt;Cancelled")</f>
        <v/>
      </c>
      <c r="D13" s="10">
        <f>SUMIFS(Transactions!$H:$H,Transactions!$A:$A,A13,Transactions!$E:$E,"Expense",Transactions!$F:$F,"&lt;&gt;Cancelled")</f>
        <v/>
      </c>
      <c r="E13" s="10">
        <f>C13-D13</f>
        <v/>
      </c>
      <c r="F13" s="10">
        <f>SUMIFS(Receivables!$G:$G,Receivables!$D:$D,A13,Receivables!$H:$H,"&lt;&gt;Paid")</f>
        <v/>
      </c>
      <c r="G13" s="10">
        <f>SUMIFS(Payables!$G:$G,Payables!$D:$D,A13,Payables!$H:$H,"&lt;&gt;Paid")</f>
        <v/>
      </c>
      <c r="H13" s="10">
        <f>F13-G13+(AVERAGE('Monthly Summary'!$D$3:$D$14)/30)</f>
        <v/>
      </c>
      <c r="I13" s="10">
        <f>B13+H13</f>
        <v/>
      </c>
      <c r="J13" s="10">
        <f>MAX(0,Settings!$B$12-I13)</f>
        <v/>
      </c>
    </row>
    <row r="14">
      <c r="A14" s="27">
        <f>A13+1</f>
        <v/>
      </c>
      <c r="B14" s="10">
        <f>I13</f>
        <v/>
      </c>
      <c r="C14" s="10">
        <f>SUMIFS(Transactions!$H:$H,Transactions!$A:$A,A14,Transactions!$E:$E,"Income",Transactions!$F:$F,"&lt;&gt;Cancelled")</f>
        <v/>
      </c>
      <c r="D14" s="10">
        <f>SUMIFS(Transactions!$H:$H,Transactions!$A:$A,A14,Transactions!$E:$E,"Expense",Transactions!$F:$F,"&lt;&gt;Cancelled")</f>
        <v/>
      </c>
      <c r="E14" s="10">
        <f>C14-D14</f>
        <v/>
      </c>
      <c r="F14" s="10">
        <f>SUMIFS(Receivables!$G:$G,Receivables!$D:$D,A14,Receivables!$H:$H,"&lt;&gt;Paid")</f>
        <v/>
      </c>
      <c r="G14" s="10">
        <f>SUMIFS(Payables!$G:$G,Payables!$D:$D,A14,Payables!$H:$H,"&lt;&gt;Paid")</f>
        <v/>
      </c>
      <c r="H14" s="10">
        <f>F14-G14+(AVERAGE('Monthly Summary'!$D$3:$D$14)/30)</f>
        <v/>
      </c>
      <c r="I14" s="10">
        <f>B14+H14</f>
        <v/>
      </c>
      <c r="J14" s="10">
        <f>MAX(0,Settings!$B$12-I14)</f>
        <v/>
      </c>
    </row>
    <row r="15">
      <c r="A15" s="27">
        <f>A14+1</f>
        <v/>
      </c>
      <c r="B15" s="10">
        <f>I14</f>
        <v/>
      </c>
      <c r="C15" s="10">
        <f>SUMIFS(Transactions!$H:$H,Transactions!$A:$A,A15,Transactions!$E:$E,"Income",Transactions!$F:$F,"&lt;&gt;Cancelled")</f>
        <v/>
      </c>
      <c r="D15" s="10">
        <f>SUMIFS(Transactions!$H:$H,Transactions!$A:$A,A15,Transactions!$E:$E,"Expense",Transactions!$F:$F,"&lt;&gt;Cancelled")</f>
        <v/>
      </c>
      <c r="E15" s="10">
        <f>C15-D15</f>
        <v/>
      </c>
      <c r="F15" s="10">
        <f>SUMIFS(Receivables!$G:$G,Receivables!$D:$D,A15,Receivables!$H:$H,"&lt;&gt;Paid")</f>
        <v/>
      </c>
      <c r="G15" s="10">
        <f>SUMIFS(Payables!$G:$G,Payables!$D:$D,A15,Payables!$H:$H,"&lt;&gt;Paid")</f>
        <v/>
      </c>
      <c r="H15" s="10">
        <f>F15-G15+(AVERAGE('Monthly Summary'!$D$3:$D$14)/30)</f>
        <v/>
      </c>
      <c r="I15" s="10">
        <f>B15+H15</f>
        <v/>
      </c>
      <c r="J15" s="10">
        <f>MAX(0,Settings!$B$12-I15)</f>
        <v/>
      </c>
    </row>
    <row r="16">
      <c r="A16" s="27">
        <f>A15+1</f>
        <v/>
      </c>
      <c r="B16" s="10">
        <f>I15</f>
        <v/>
      </c>
      <c r="C16" s="10">
        <f>SUMIFS(Transactions!$H:$H,Transactions!$A:$A,A16,Transactions!$E:$E,"Income",Transactions!$F:$F,"&lt;&gt;Cancelled")</f>
        <v/>
      </c>
      <c r="D16" s="10">
        <f>SUMIFS(Transactions!$H:$H,Transactions!$A:$A,A16,Transactions!$E:$E,"Expense",Transactions!$F:$F,"&lt;&gt;Cancelled")</f>
        <v/>
      </c>
      <c r="E16" s="10">
        <f>C16-D16</f>
        <v/>
      </c>
      <c r="F16" s="10">
        <f>SUMIFS(Receivables!$G:$G,Receivables!$D:$D,A16,Receivables!$H:$H,"&lt;&gt;Paid")</f>
        <v/>
      </c>
      <c r="G16" s="10">
        <f>SUMIFS(Payables!$G:$G,Payables!$D:$D,A16,Payables!$H:$H,"&lt;&gt;Paid")</f>
        <v/>
      </c>
      <c r="H16" s="10">
        <f>F16-G16+(AVERAGE('Monthly Summary'!$D$3:$D$14)/30)</f>
        <v/>
      </c>
      <c r="I16" s="10">
        <f>B16+H16</f>
        <v/>
      </c>
      <c r="J16" s="10">
        <f>MAX(0,Settings!$B$12-I16)</f>
        <v/>
      </c>
    </row>
    <row r="17">
      <c r="A17" s="27">
        <f>A16+1</f>
        <v/>
      </c>
      <c r="B17" s="10">
        <f>I16</f>
        <v/>
      </c>
      <c r="C17" s="10">
        <f>SUMIFS(Transactions!$H:$H,Transactions!$A:$A,A17,Transactions!$E:$E,"Income",Transactions!$F:$F,"&lt;&gt;Cancelled")</f>
        <v/>
      </c>
      <c r="D17" s="10">
        <f>SUMIFS(Transactions!$H:$H,Transactions!$A:$A,A17,Transactions!$E:$E,"Expense",Transactions!$F:$F,"&lt;&gt;Cancelled")</f>
        <v/>
      </c>
      <c r="E17" s="10">
        <f>C17-D17</f>
        <v/>
      </c>
      <c r="F17" s="10">
        <f>SUMIFS(Receivables!$G:$G,Receivables!$D:$D,A17,Receivables!$H:$H,"&lt;&gt;Paid")</f>
        <v/>
      </c>
      <c r="G17" s="10">
        <f>SUMIFS(Payables!$G:$G,Payables!$D:$D,A17,Payables!$H:$H,"&lt;&gt;Paid")</f>
        <v/>
      </c>
      <c r="H17" s="10">
        <f>F17-G17+(AVERAGE('Monthly Summary'!$D$3:$D$14)/30)</f>
        <v/>
      </c>
      <c r="I17" s="10">
        <f>B17+H17</f>
        <v/>
      </c>
      <c r="J17" s="10">
        <f>MAX(0,Settings!$B$12-I17)</f>
        <v/>
      </c>
    </row>
    <row r="18">
      <c r="A18" s="27">
        <f>A17+1</f>
        <v/>
      </c>
      <c r="B18" s="10">
        <f>I17</f>
        <v/>
      </c>
      <c r="C18" s="10">
        <f>SUMIFS(Transactions!$H:$H,Transactions!$A:$A,A18,Transactions!$E:$E,"Income",Transactions!$F:$F,"&lt;&gt;Cancelled")</f>
        <v/>
      </c>
      <c r="D18" s="10">
        <f>SUMIFS(Transactions!$H:$H,Transactions!$A:$A,A18,Transactions!$E:$E,"Expense",Transactions!$F:$F,"&lt;&gt;Cancelled")</f>
        <v/>
      </c>
      <c r="E18" s="10">
        <f>C18-D18</f>
        <v/>
      </c>
      <c r="F18" s="10">
        <f>SUMIFS(Receivables!$G:$G,Receivables!$D:$D,A18,Receivables!$H:$H,"&lt;&gt;Paid")</f>
        <v/>
      </c>
      <c r="G18" s="10">
        <f>SUMIFS(Payables!$G:$G,Payables!$D:$D,A18,Payables!$H:$H,"&lt;&gt;Paid")</f>
        <v/>
      </c>
      <c r="H18" s="10">
        <f>F18-G18+(AVERAGE('Monthly Summary'!$D$3:$D$14)/30)</f>
        <v/>
      </c>
      <c r="I18" s="10">
        <f>B18+H18</f>
        <v/>
      </c>
      <c r="J18" s="10">
        <f>MAX(0,Settings!$B$12-I18)</f>
        <v/>
      </c>
    </row>
    <row r="19">
      <c r="A19" s="27">
        <f>A18+1</f>
        <v/>
      </c>
      <c r="B19" s="10">
        <f>I18</f>
        <v/>
      </c>
      <c r="C19" s="10">
        <f>SUMIFS(Transactions!$H:$H,Transactions!$A:$A,A19,Transactions!$E:$E,"Income",Transactions!$F:$F,"&lt;&gt;Cancelled")</f>
        <v/>
      </c>
      <c r="D19" s="10">
        <f>SUMIFS(Transactions!$H:$H,Transactions!$A:$A,A19,Transactions!$E:$E,"Expense",Transactions!$F:$F,"&lt;&gt;Cancelled")</f>
        <v/>
      </c>
      <c r="E19" s="10">
        <f>C19-D19</f>
        <v/>
      </c>
      <c r="F19" s="10">
        <f>SUMIFS(Receivables!$G:$G,Receivables!$D:$D,A19,Receivables!$H:$H,"&lt;&gt;Paid")</f>
        <v/>
      </c>
      <c r="G19" s="10">
        <f>SUMIFS(Payables!$G:$G,Payables!$D:$D,A19,Payables!$H:$H,"&lt;&gt;Paid")</f>
        <v/>
      </c>
      <c r="H19" s="10">
        <f>F19-G19+(AVERAGE('Monthly Summary'!$D$3:$D$14)/30)</f>
        <v/>
      </c>
      <c r="I19" s="10">
        <f>B19+H19</f>
        <v/>
      </c>
      <c r="J19" s="10">
        <f>MAX(0,Settings!$B$12-I19)</f>
        <v/>
      </c>
    </row>
    <row r="20">
      <c r="A20" s="27">
        <f>A19+1</f>
        <v/>
      </c>
      <c r="B20" s="10">
        <f>I19</f>
        <v/>
      </c>
      <c r="C20" s="10">
        <f>SUMIFS(Transactions!$H:$H,Transactions!$A:$A,A20,Transactions!$E:$E,"Income",Transactions!$F:$F,"&lt;&gt;Cancelled")</f>
        <v/>
      </c>
      <c r="D20" s="10">
        <f>SUMIFS(Transactions!$H:$H,Transactions!$A:$A,A20,Transactions!$E:$E,"Expense",Transactions!$F:$F,"&lt;&gt;Cancelled")</f>
        <v/>
      </c>
      <c r="E20" s="10">
        <f>C20-D20</f>
        <v/>
      </c>
      <c r="F20" s="10">
        <f>SUMIFS(Receivables!$G:$G,Receivables!$D:$D,A20,Receivables!$H:$H,"&lt;&gt;Paid")</f>
        <v/>
      </c>
      <c r="G20" s="10">
        <f>SUMIFS(Payables!$G:$G,Payables!$D:$D,A20,Payables!$H:$H,"&lt;&gt;Paid")</f>
        <v/>
      </c>
      <c r="H20" s="10">
        <f>F20-G20+(AVERAGE('Monthly Summary'!$D$3:$D$14)/30)</f>
        <v/>
      </c>
      <c r="I20" s="10">
        <f>B20+H20</f>
        <v/>
      </c>
      <c r="J20" s="10">
        <f>MAX(0,Settings!$B$12-I20)</f>
        <v/>
      </c>
    </row>
    <row r="21">
      <c r="A21" s="27">
        <f>A20+1</f>
        <v/>
      </c>
      <c r="B21" s="10">
        <f>I20</f>
        <v/>
      </c>
      <c r="C21" s="10">
        <f>SUMIFS(Transactions!$H:$H,Transactions!$A:$A,A21,Transactions!$E:$E,"Income",Transactions!$F:$F,"&lt;&gt;Cancelled")</f>
        <v/>
      </c>
      <c r="D21" s="10">
        <f>SUMIFS(Transactions!$H:$H,Transactions!$A:$A,A21,Transactions!$E:$E,"Expense",Transactions!$F:$F,"&lt;&gt;Cancelled")</f>
        <v/>
      </c>
      <c r="E21" s="10">
        <f>C21-D21</f>
        <v/>
      </c>
      <c r="F21" s="10">
        <f>SUMIFS(Receivables!$G:$G,Receivables!$D:$D,A21,Receivables!$H:$H,"&lt;&gt;Paid")</f>
        <v/>
      </c>
      <c r="G21" s="10">
        <f>SUMIFS(Payables!$G:$G,Payables!$D:$D,A21,Payables!$H:$H,"&lt;&gt;Paid")</f>
        <v/>
      </c>
      <c r="H21" s="10">
        <f>F21-G21+(AVERAGE('Monthly Summary'!$D$3:$D$14)/30)</f>
        <v/>
      </c>
      <c r="I21" s="10">
        <f>B21+H21</f>
        <v/>
      </c>
      <c r="J21" s="10">
        <f>MAX(0,Settings!$B$12-I21)</f>
        <v/>
      </c>
    </row>
    <row r="22">
      <c r="A22" s="27">
        <f>A21+1</f>
        <v/>
      </c>
      <c r="B22" s="10">
        <f>I21</f>
        <v/>
      </c>
      <c r="C22" s="10">
        <f>SUMIFS(Transactions!$H:$H,Transactions!$A:$A,A22,Transactions!$E:$E,"Income",Transactions!$F:$F,"&lt;&gt;Cancelled")</f>
        <v/>
      </c>
      <c r="D22" s="10">
        <f>SUMIFS(Transactions!$H:$H,Transactions!$A:$A,A22,Transactions!$E:$E,"Expense",Transactions!$F:$F,"&lt;&gt;Cancelled")</f>
        <v/>
      </c>
      <c r="E22" s="10">
        <f>C22-D22</f>
        <v/>
      </c>
      <c r="F22" s="10">
        <f>SUMIFS(Receivables!$G:$G,Receivables!$D:$D,A22,Receivables!$H:$H,"&lt;&gt;Paid")</f>
        <v/>
      </c>
      <c r="G22" s="10">
        <f>SUMIFS(Payables!$G:$G,Payables!$D:$D,A22,Payables!$H:$H,"&lt;&gt;Paid")</f>
        <v/>
      </c>
      <c r="H22" s="10">
        <f>F22-G22+(AVERAGE('Monthly Summary'!$D$3:$D$14)/30)</f>
        <v/>
      </c>
      <c r="I22" s="10">
        <f>B22+H22</f>
        <v/>
      </c>
      <c r="J22" s="10">
        <f>MAX(0,Settings!$B$12-I22)</f>
        <v/>
      </c>
    </row>
    <row r="23">
      <c r="A23" s="27">
        <f>A22+1</f>
        <v/>
      </c>
      <c r="B23" s="10">
        <f>I22</f>
        <v/>
      </c>
      <c r="C23" s="10">
        <f>SUMIFS(Transactions!$H:$H,Transactions!$A:$A,A23,Transactions!$E:$E,"Income",Transactions!$F:$F,"&lt;&gt;Cancelled")</f>
        <v/>
      </c>
      <c r="D23" s="10">
        <f>SUMIFS(Transactions!$H:$H,Transactions!$A:$A,A23,Transactions!$E:$E,"Expense",Transactions!$F:$F,"&lt;&gt;Cancelled")</f>
        <v/>
      </c>
      <c r="E23" s="10">
        <f>C23-D23</f>
        <v/>
      </c>
      <c r="F23" s="10">
        <f>SUMIFS(Receivables!$G:$G,Receivables!$D:$D,A23,Receivables!$H:$H,"&lt;&gt;Paid")</f>
        <v/>
      </c>
      <c r="G23" s="10">
        <f>SUMIFS(Payables!$G:$G,Payables!$D:$D,A23,Payables!$H:$H,"&lt;&gt;Paid")</f>
        <v/>
      </c>
      <c r="H23" s="10">
        <f>F23-G23+(AVERAGE('Monthly Summary'!$D$3:$D$14)/30)</f>
        <v/>
      </c>
      <c r="I23" s="10">
        <f>B23+H23</f>
        <v/>
      </c>
      <c r="J23" s="10">
        <f>MAX(0,Settings!$B$12-I23)</f>
        <v/>
      </c>
    </row>
    <row r="24">
      <c r="A24" s="27">
        <f>A23+1</f>
        <v/>
      </c>
      <c r="B24" s="10">
        <f>I23</f>
        <v/>
      </c>
      <c r="C24" s="10">
        <f>SUMIFS(Transactions!$H:$H,Transactions!$A:$A,A24,Transactions!$E:$E,"Income",Transactions!$F:$F,"&lt;&gt;Cancelled")</f>
        <v/>
      </c>
      <c r="D24" s="10">
        <f>SUMIFS(Transactions!$H:$H,Transactions!$A:$A,A24,Transactions!$E:$E,"Expense",Transactions!$F:$F,"&lt;&gt;Cancelled")</f>
        <v/>
      </c>
      <c r="E24" s="10">
        <f>C24-D24</f>
        <v/>
      </c>
      <c r="F24" s="10">
        <f>SUMIFS(Receivables!$G:$G,Receivables!$D:$D,A24,Receivables!$H:$H,"&lt;&gt;Paid")</f>
        <v/>
      </c>
      <c r="G24" s="10">
        <f>SUMIFS(Payables!$G:$G,Payables!$D:$D,A24,Payables!$H:$H,"&lt;&gt;Paid")</f>
        <v/>
      </c>
      <c r="H24" s="10">
        <f>F24-G24+(AVERAGE('Monthly Summary'!$D$3:$D$14)/30)</f>
        <v/>
      </c>
      <c r="I24" s="10">
        <f>B24+H24</f>
        <v/>
      </c>
      <c r="J24" s="10">
        <f>MAX(0,Settings!$B$12-I24)</f>
        <v/>
      </c>
    </row>
    <row r="25">
      <c r="A25" s="27">
        <f>A24+1</f>
        <v/>
      </c>
      <c r="B25" s="10">
        <f>I24</f>
        <v/>
      </c>
      <c r="C25" s="10">
        <f>SUMIFS(Transactions!$H:$H,Transactions!$A:$A,A25,Transactions!$E:$E,"Income",Transactions!$F:$F,"&lt;&gt;Cancelled")</f>
        <v/>
      </c>
      <c r="D25" s="10">
        <f>SUMIFS(Transactions!$H:$H,Transactions!$A:$A,A25,Transactions!$E:$E,"Expense",Transactions!$F:$F,"&lt;&gt;Cancelled")</f>
        <v/>
      </c>
      <c r="E25" s="10">
        <f>C25-D25</f>
        <v/>
      </c>
      <c r="F25" s="10">
        <f>SUMIFS(Receivables!$G:$G,Receivables!$D:$D,A25,Receivables!$H:$H,"&lt;&gt;Paid")</f>
        <v/>
      </c>
      <c r="G25" s="10">
        <f>SUMIFS(Payables!$G:$G,Payables!$D:$D,A25,Payables!$H:$H,"&lt;&gt;Paid")</f>
        <v/>
      </c>
      <c r="H25" s="10">
        <f>F25-G25+(AVERAGE('Monthly Summary'!$D$3:$D$14)/30)</f>
        <v/>
      </c>
      <c r="I25" s="10">
        <f>B25+H25</f>
        <v/>
      </c>
      <c r="J25" s="10">
        <f>MAX(0,Settings!$B$12-I25)</f>
        <v/>
      </c>
    </row>
    <row r="26">
      <c r="A26" s="27">
        <f>A25+1</f>
        <v/>
      </c>
      <c r="B26" s="10">
        <f>I25</f>
        <v/>
      </c>
      <c r="C26" s="10">
        <f>SUMIFS(Transactions!$H:$H,Transactions!$A:$A,A26,Transactions!$E:$E,"Income",Transactions!$F:$F,"&lt;&gt;Cancelled")</f>
        <v/>
      </c>
      <c r="D26" s="10">
        <f>SUMIFS(Transactions!$H:$H,Transactions!$A:$A,A26,Transactions!$E:$E,"Expense",Transactions!$F:$F,"&lt;&gt;Cancelled")</f>
        <v/>
      </c>
      <c r="E26" s="10">
        <f>C26-D26</f>
        <v/>
      </c>
      <c r="F26" s="10">
        <f>SUMIFS(Receivables!$G:$G,Receivables!$D:$D,A26,Receivables!$H:$H,"&lt;&gt;Paid")</f>
        <v/>
      </c>
      <c r="G26" s="10">
        <f>SUMIFS(Payables!$G:$G,Payables!$D:$D,A26,Payables!$H:$H,"&lt;&gt;Paid")</f>
        <v/>
      </c>
      <c r="H26" s="10">
        <f>F26-G26+(AVERAGE('Monthly Summary'!$D$3:$D$14)/30)</f>
        <v/>
      </c>
      <c r="I26" s="10">
        <f>B26+H26</f>
        <v/>
      </c>
      <c r="J26" s="10">
        <f>MAX(0,Settings!$B$12-I26)</f>
        <v/>
      </c>
    </row>
    <row r="27">
      <c r="A27" s="27">
        <f>A26+1</f>
        <v/>
      </c>
      <c r="B27" s="10">
        <f>I26</f>
        <v/>
      </c>
      <c r="C27" s="10">
        <f>SUMIFS(Transactions!$H:$H,Transactions!$A:$A,A27,Transactions!$E:$E,"Income",Transactions!$F:$F,"&lt;&gt;Cancelled")</f>
        <v/>
      </c>
      <c r="D27" s="10">
        <f>SUMIFS(Transactions!$H:$H,Transactions!$A:$A,A27,Transactions!$E:$E,"Expense",Transactions!$F:$F,"&lt;&gt;Cancelled")</f>
        <v/>
      </c>
      <c r="E27" s="10">
        <f>C27-D27</f>
        <v/>
      </c>
      <c r="F27" s="10">
        <f>SUMIFS(Receivables!$G:$G,Receivables!$D:$D,A27,Receivables!$H:$H,"&lt;&gt;Paid")</f>
        <v/>
      </c>
      <c r="G27" s="10">
        <f>SUMIFS(Payables!$G:$G,Payables!$D:$D,A27,Payables!$H:$H,"&lt;&gt;Paid")</f>
        <v/>
      </c>
      <c r="H27" s="10">
        <f>F27-G27+(AVERAGE('Monthly Summary'!$D$3:$D$14)/30)</f>
        <v/>
      </c>
      <c r="I27" s="10">
        <f>B27+H27</f>
        <v/>
      </c>
      <c r="J27" s="10">
        <f>MAX(0,Settings!$B$12-I27)</f>
        <v/>
      </c>
    </row>
    <row r="28">
      <c r="A28" s="27">
        <f>A27+1</f>
        <v/>
      </c>
      <c r="B28" s="10">
        <f>I27</f>
        <v/>
      </c>
      <c r="C28" s="10">
        <f>SUMIFS(Transactions!$H:$H,Transactions!$A:$A,A28,Transactions!$E:$E,"Income",Transactions!$F:$F,"&lt;&gt;Cancelled")</f>
        <v/>
      </c>
      <c r="D28" s="10">
        <f>SUMIFS(Transactions!$H:$H,Transactions!$A:$A,A28,Transactions!$E:$E,"Expense",Transactions!$F:$F,"&lt;&gt;Cancelled")</f>
        <v/>
      </c>
      <c r="E28" s="10">
        <f>C28-D28</f>
        <v/>
      </c>
      <c r="F28" s="10">
        <f>SUMIFS(Receivables!$G:$G,Receivables!$D:$D,A28,Receivables!$H:$H,"&lt;&gt;Paid")</f>
        <v/>
      </c>
      <c r="G28" s="10">
        <f>SUMIFS(Payables!$G:$G,Payables!$D:$D,A28,Payables!$H:$H,"&lt;&gt;Paid")</f>
        <v/>
      </c>
      <c r="H28" s="10">
        <f>F28-G28+(AVERAGE('Monthly Summary'!$D$3:$D$14)/30)</f>
        <v/>
      </c>
      <c r="I28" s="10">
        <f>B28+H28</f>
        <v/>
      </c>
      <c r="J28" s="10">
        <f>MAX(0,Settings!$B$12-I28)</f>
        <v/>
      </c>
    </row>
    <row r="29">
      <c r="A29" s="27">
        <f>A28+1</f>
        <v/>
      </c>
      <c r="B29" s="10">
        <f>I28</f>
        <v/>
      </c>
      <c r="C29" s="10">
        <f>SUMIFS(Transactions!$H:$H,Transactions!$A:$A,A29,Transactions!$E:$E,"Income",Transactions!$F:$F,"&lt;&gt;Cancelled")</f>
        <v/>
      </c>
      <c r="D29" s="10">
        <f>SUMIFS(Transactions!$H:$H,Transactions!$A:$A,A29,Transactions!$E:$E,"Expense",Transactions!$F:$F,"&lt;&gt;Cancelled")</f>
        <v/>
      </c>
      <c r="E29" s="10">
        <f>C29-D29</f>
        <v/>
      </c>
      <c r="F29" s="10">
        <f>SUMIFS(Receivables!$G:$G,Receivables!$D:$D,A29,Receivables!$H:$H,"&lt;&gt;Paid")</f>
        <v/>
      </c>
      <c r="G29" s="10">
        <f>SUMIFS(Payables!$G:$G,Payables!$D:$D,A29,Payables!$H:$H,"&lt;&gt;Paid")</f>
        <v/>
      </c>
      <c r="H29" s="10">
        <f>F29-G29+(AVERAGE('Monthly Summary'!$D$3:$D$14)/30)</f>
        <v/>
      </c>
      <c r="I29" s="10">
        <f>B29+H29</f>
        <v/>
      </c>
      <c r="J29" s="10">
        <f>MAX(0,Settings!$B$12-I29)</f>
        <v/>
      </c>
    </row>
    <row r="30">
      <c r="A30" s="27">
        <f>A29+1</f>
        <v/>
      </c>
      <c r="B30" s="10">
        <f>I29</f>
        <v/>
      </c>
      <c r="C30" s="10">
        <f>SUMIFS(Transactions!$H:$H,Transactions!$A:$A,A30,Transactions!$E:$E,"Income",Transactions!$F:$F,"&lt;&gt;Cancelled")</f>
        <v/>
      </c>
      <c r="D30" s="10">
        <f>SUMIFS(Transactions!$H:$H,Transactions!$A:$A,A30,Transactions!$E:$E,"Expense",Transactions!$F:$F,"&lt;&gt;Cancelled")</f>
        <v/>
      </c>
      <c r="E30" s="10">
        <f>C30-D30</f>
        <v/>
      </c>
      <c r="F30" s="10">
        <f>SUMIFS(Receivables!$G:$G,Receivables!$D:$D,A30,Receivables!$H:$H,"&lt;&gt;Paid")</f>
        <v/>
      </c>
      <c r="G30" s="10">
        <f>SUMIFS(Payables!$G:$G,Payables!$D:$D,A30,Payables!$H:$H,"&lt;&gt;Paid")</f>
        <v/>
      </c>
      <c r="H30" s="10">
        <f>F30-G30+(AVERAGE('Monthly Summary'!$D$3:$D$14)/30)</f>
        <v/>
      </c>
      <c r="I30" s="10">
        <f>B30+H30</f>
        <v/>
      </c>
      <c r="J30" s="10">
        <f>MAX(0,Settings!$B$12-I30)</f>
        <v/>
      </c>
    </row>
    <row r="31">
      <c r="A31" s="27">
        <f>A30+1</f>
        <v/>
      </c>
      <c r="B31" s="10">
        <f>I30</f>
        <v/>
      </c>
      <c r="C31" s="10">
        <f>SUMIFS(Transactions!$H:$H,Transactions!$A:$A,A31,Transactions!$E:$E,"Income",Transactions!$F:$F,"&lt;&gt;Cancelled")</f>
        <v/>
      </c>
      <c r="D31" s="10">
        <f>SUMIFS(Transactions!$H:$H,Transactions!$A:$A,A31,Transactions!$E:$E,"Expense",Transactions!$F:$F,"&lt;&gt;Cancelled")</f>
        <v/>
      </c>
      <c r="E31" s="10">
        <f>C31-D31</f>
        <v/>
      </c>
      <c r="F31" s="10">
        <f>SUMIFS(Receivables!$G:$G,Receivables!$D:$D,A31,Receivables!$H:$H,"&lt;&gt;Paid")</f>
        <v/>
      </c>
      <c r="G31" s="10">
        <f>SUMIFS(Payables!$G:$G,Payables!$D:$D,A31,Payables!$H:$H,"&lt;&gt;Paid")</f>
        <v/>
      </c>
      <c r="H31" s="10">
        <f>F31-G31+(AVERAGE('Monthly Summary'!$D$3:$D$14)/30)</f>
        <v/>
      </c>
      <c r="I31" s="10">
        <f>B31+H31</f>
        <v/>
      </c>
      <c r="J31" s="10">
        <f>MAX(0,Settings!$B$12-I31)</f>
        <v/>
      </c>
    </row>
    <row r="32">
      <c r="A32" s="27">
        <f>A31+1</f>
        <v/>
      </c>
      <c r="B32" s="10">
        <f>I31</f>
        <v/>
      </c>
      <c r="C32" s="10">
        <f>SUMIFS(Transactions!$H:$H,Transactions!$A:$A,A32,Transactions!$E:$E,"Income",Transactions!$F:$F,"&lt;&gt;Cancelled")</f>
        <v/>
      </c>
      <c r="D32" s="10">
        <f>SUMIFS(Transactions!$H:$H,Transactions!$A:$A,A32,Transactions!$E:$E,"Expense",Transactions!$F:$F,"&lt;&gt;Cancelled")</f>
        <v/>
      </c>
      <c r="E32" s="10">
        <f>C32-D32</f>
        <v/>
      </c>
      <c r="F32" s="10">
        <f>SUMIFS(Receivables!$G:$G,Receivables!$D:$D,A32,Receivables!$H:$H,"&lt;&gt;Paid")</f>
        <v/>
      </c>
      <c r="G32" s="10">
        <f>SUMIFS(Payables!$G:$G,Payables!$D:$D,A32,Payables!$H:$H,"&lt;&gt;Paid")</f>
        <v/>
      </c>
      <c r="H32" s="10">
        <f>F32-G32+(AVERAGE('Monthly Summary'!$D$3:$D$14)/30)</f>
        <v/>
      </c>
      <c r="I32" s="10">
        <f>B32+H32</f>
        <v/>
      </c>
      <c r="J32" s="10">
        <f>MAX(0,Settings!$B$12-I32)</f>
        <v/>
      </c>
    </row>
    <row r="33">
      <c r="A33" s="27">
        <f>A32+1</f>
        <v/>
      </c>
      <c r="B33" s="10">
        <f>I32</f>
        <v/>
      </c>
      <c r="C33" s="10">
        <f>SUMIFS(Transactions!$H:$H,Transactions!$A:$A,A33,Transactions!$E:$E,"Income",Transactions!$F:$F,"&lt;&gt;Cancelled")</f>
        <v/>
      </c>
      <c r="D33" s="10">
        <f>SUMIFS(Transactions!$H:$H,Transactions!$A:$A,A33,Transactions!$E:$E,"Expense",Transactions!$F:$F,"&lt;&gt;Cancelled")</f>
        <v/>
      </c>
      <c r="E33" s="10">
        <f>C33-D33</f>
        <v/>
      </c>
      <c r="F33" s="10">
        <f>SUMIFS(Receivables!$G:$G,Receivables!$D:$D,A33,Receivables!$H:$H,"&lt;&gt;Paid")</f>
        <v/>
      </c>
      <c r="G33" s="10">
        <f>SUMIFS(Payables!$G:$G,Payables!$D:$D,A33,Payables!$H:$H,"&lt;&gt;Paid")</f>
        <v/>
      </c>
      <c r="H33" s="10">
        <f>F33-G33+(AVERAGE('Monthly Summary'!$D$3:$D$14)/30)</f>
        <v/>
      </c>
      <c r="I33" s="10">
        <f>B33+H33</f>
        <v/>
      </c>
      <c r="J33" s="10">
        <f>MAX(0,Settings!$B$12-I33)</f>
        <v/>
      </c>
    </row>
    <row r="34">
      <c r="A34" s="27">
        <f>A33+1</f>
        <v/>
      </c>
      <c r="B34" s="10">
        <f>I33</f>
        <v/>
      </c>
      <c r="C34" s="10">
        <f>SUMIFS(Transactions!$H:$H,Transactions!$A:$A,A34,Transactions!$E:$E,"Income",Transactions!$F:$F,"&lt;&gt;Cancelled")</f>
        <v/>
      </c>
      <c r="D34" s="10">
        <f>SUMIFS(Transactions!$H:$H,Transactions!$A:$A,A34,Transactions!$E:$E,"Expense",Transactions!$F:$F,"&lt;&gt;Cancelled")</f>
        <v/>
      </c>
      <c r="E34" s="10">
        <f>C34-D34</f>
        <v/>
      </c>
      <c r="F34" s="10">
        <f>SUMIFS(Receivables!$G:$G,Receivables!$D:$D,A34,Receivables!$H:$H,"&lt;&gt;Paid")</f>
        <v/>
      </c>
      <c r="G34" s="10">
        <f>SUMIFS(Payables!$G:$G,Payables!$D:$D,A34,Payables!$H:$H,"&lt;&gt;Paid")</f>
        <v/>
      </c>
      <c r="H34" s="10">
        <f>F34-G34+(AVERAGE('Monthly Summary'!$D$3:$D$14)/30)</f>
        <v/>
      </c>
      <c r="I34" s="10">
        <f>B34+H34</f>
        <v/>
      </c>
      <c r="J34" s="10">
        <f>MAX(0,Settings!$B$12-I34)</f>
        <v/>
      </c>
    </row>
    <row r="35">
      <c r="A35" s="27">
        <f>A34+1</f>
        <v/>
      </c>
      <c r="B35" s="10">
        <f>I34</f>
        <v/>
      </c>
      <c r="C35" s="10">
        <f>SUMIFS(Transactions!$H:$H,Transactions!$A:$A,A35,Transactions!$E:$E,"Income",Transactions!$F:$F,"&lt;&gt;Cancelled")</f>
        <v/>
      </c>
      <c r="D35" s="10">
        <f>SUMIFS(Transactions!$H:$H,Transactions!$A:$A,A35,Transactions!$E:$E,"Expense",Transactions!$F:$F,"&lt;&gt;Cancelled")</f>
        <v/>
      </c>
      <c r="E35" s="10">
        <f>C35-D35</f>
        <v/>
      </c>
      <c r="F35" s="10">
        <f>SUMIFS(Receivables!$G:$G,Receivables!$D:$D,A35,Receivables!$H:$H,"&lt;&gt;Paid")</f>
        <v/>
      </c>
      <c r="G35" s="10">
        <f>SUMIFS(Payables!$G:$G,Payables!$D:$D,A35,Payables!$H:$H,"&lt;&gt;Paid")</f>
        <v/>
      </c>
      <c r="H35" s="10">
        <f>F35-G35+(AVERAGE('Monthly Summary'!$D$3:$D$14)/30)</f>
        <v/>
      </c>
      <c r="I35" s="10">
        <f>B35+H35</f>
        <v/>
      </c>
      <c r="J35" s="10">
        <f>MAX(0,Settings!$B$12-I35)</f>
        <v/>
      </c>
    </row>
    <row r="36">
      <c r="A36" s="27">
        <f>A35+1</f>
        <v/>
      </c>
      <c r="B36" s="10">
        <f>I35</f>
        <v/>
      </c>
      <c r="C36" s="10">
        <f>SUMIFS(Transactions!$H:$H,Transactions!$A:$A,A36,Transactions!$E:$E,"Income",Transactions!$F:$F,"&lt;&gt;Cancelled")</f>
        <v/>
      </c>
      <c r="D36" s="10">
        <f>SUMIFS(Transactions!$H:$H,Transactions!$A:$A,A36,Transactions!$E:$E,"Expense",Transactions!$F:$F,"&lt;&gt;Cancelled")</f>
        <v/>
      </c>
      <c r="E36" s="10">
        <f>C36-D36</f>
        <v/>
      </c>
      <c r="F36" s="10">
        <f>SUMIFS(Receivables!$G:$G,Receivables!$D:$D,A36,Receivables!$H:$H,"&lt;&gt;Paid")</f>
        <v/>
      </c>
      <c r="G36" s="10">
        <f>SUMIFS(Payables!$G:$G,Payables!$D:$D,A36,Payables!$H:$H,"&lt;&gt;Paid")</f>
        <v/>
      </c>
      <c r="H36" s="10">
        <f>F36-G36+(AVERAGE('Monthly Summary'!$D$3:$D$14)/30)</f>
        <v/>
      </c>
      <c r="I36" s="10">
        <f>B36+H36</f>
        <v/>
      </c>
      <c r="J36" s="10">
        <f>MAX(0,Settings!$B$12-I36)</f>
        <v/>
      </c>
    </row>
    <row r="37">
      <c r="A37" s="27">
        <f>A36+1</f>
        <v/>
      </c>
      <c r="B37" s="10">
        <f>I36</f>
        <v/>
      </c>
      <c r="C37" s="10">
        <f>SUMIFS(Transactions!$H:$H,Transactions!$A:$A,A37,Transactions!$E:$E,"Income",Transactions!$F:$F,"&lt;&gt;Cancelled")</f>
        <v/>
      </c>
      <c r="D37" s="10">
        <f>SUMIFS(Transactions!$H:$H,Transactions!$A:$A,A37,Transactions!$E:$E,"Expense",Transactions!$F:$F,"&lt;&gt;Cancelled")</f>
        <v/>
      </c>
      <c r="E37" s="10">
        <f>C37-D37</f>
        <v/>
      </c>
      <c r="F37" s="10">
        <f>SUMIFS(Receivables!$G:$G,Receivables!$D:$D,A37,Receivables!$H:$H,"&lt;&gt;Paid")</f>
        <v/>
      </c>
      <c r="G37" s="10">
        <f>SUMIFS(Payables!$G:$G,Payables!$D:$D,A37,Payables!$H:$H,"&lt;&gt;Paid")</f>
        <v/>
      </c>
      <c r="H37" s="10">
        <f>F37-G37+(AVERAGE('Monthly Summary'!$D$3:$D$14)/30)</f>
        <v/>
      </c>
      <c r="I37" s="10">
        <f>B37+H37</f>
        <v/>
      </c>
      <c r="J37" s="10">
        <f>MAX(0,Settings!$B$12-I37)</f>
        <v/>
      </c>
    </row>
    <row r="38">
      <c r="A38" s="27">
        <f>A37+1</f>
        <v/>
      </c>
      <c r="B38" s="10">
        <f>I37</f>
        <v/>
      </c>
      <c r="C38" s="10">
        <f>SUMIFS(Transactions!$H:$H,Transactions!$A:$A,A38,Transactions!$E:$E,"Income",Transactions!$F:$F,"&lt;&gt;Cancelled")</f>
        <v/>
      </c>
      <c r="D38" s="10">
        <f>SUMIFS(Transactions!$H:$H,Transactions!$A:$A,A38,Transactions!$E:$E,"Expense",Transactions!$F:$F,"&lt;&gt;Cancelled")</f>
        <v/>
      </c>
      <c r="E38" s="10">
        <f>C38-D38</f>
        <v/>
      </c>
      <c r="F38" s="10">
        <f>SUMIFS(Receivables!$G:$G,Receivables!$D:$D,A38,Receivables!$H:$H,"&lt;&gt;Paid")</f>
        <v/>
      </c>
      <c r="G38" s="10">
        <f>SUMIFS(Payables!$G:$G,Payables!$D:$D,A38,Payables!$H:$H,"&lt;&gt;Paid")</f>
        <v/>
      </c>
      <c r="H38" s="10">
        <f>F38-G38+(AVERAGE('Monthly Summary'!$D$3:$D$14)/30)</f>
        <v/>
      </c>
      <c r="I38" s="10">
        <f>B38+H38</f>
        <v/>
      </c>
      <c r="J38" s="10">
        <f>MAX(0,Settings!$B$12-I38)</f>
        <v/>
      </c>
    </row>
    <row r="39">
      <c r="A39" s="27">
        <f>A38+1</f>
        <v/>
      </c>
      <c r="B39" s="10">
        <f>I38</f>
        <v/>
      </c>
      <c r="C39" s="10">
        <f>SUMIFS(Transactions!$H:$H,Transactions!$A:$A,A39,Transactions!$E:$E,"Income",Transactions!$F:$F,"&lt;&gt;Cancelled")</f>
        <v/>
      </c>
      <c r="D39" s="10">
        <f>SUMIFS(Transactions!$H:$H,Transactions!$A:$A,A39,Transactions!$E:$E,"Expense",Transactions!$F:$F,"&lt;&gt;Cancelled")</f>
        <v/>
      </c>
      <c r="E39" s="10">
        <f>C39-D39</f>
        <v/>
      </c>
      <c r="F39" s="10">
        <f>SUMIFS(Receivables!$G:$G,Receivables!$D:$D,A39,Receivables!$H:$H,"&lt;&gt;Paid")</f>
        <v/>
      </c>
      <c r="G39" s="10">
        <f>SUMIFS(Payables!$G:$G,Payables!$D:$D,A39,Payables!$H:$H,"&lt;&gt;Paid")</f>
        <v/>
      </c>
      <c r="H39" s="10">
        <f>F39-G39+(AVERAGE('Monthly Summary'!$D$3:$D$14)/30)</f>
        <v/>
      </c>
      <c r="I39" s="10">
        <f>B39+H39</f>
        <v/>
      </c>
      <c r="J39" s="10">
        <f>MAX(0,Settings!$B$12-I39)</f>
        <v/>
      </c>
    </row>
    <row r="40">
      <c r="A40" s="27">
        <f>A39+1</f>
        <v/>
      </c>
      <c r="B40" s="10">
        <f>I39</f>
        <v/>
      </c>
      <c r="C40" s="10">
        <f>SUMIFS(Transactions!$H:$H,Transactions!$A:$A,A40,Transactions!$E:$E,"Income",Transactions!$F:$F,"&lt;&gt;Cancelled")</f>
        <v/>
      </c>
      <c r="D40" s="10">
        <f>SUMIFS(Transactions!$H:$H,Transactions!$A:$A,A40,Transactions!$E:$E,"Expense",Transactions!$F:$F,"&lt;&gt;Cancelled")</f>
        <v/>
      </c>
      <c r="E40" s="10">
        <f>C40-D40</f>
        <v/>
      </c>
      <c r="F40" s="10">
        <f>SUMIFS(Receivables!$G:$G,Receivables!$D:$D,A40,Receivables!$H:$H,"&lt;&gt;Paid")</f>
        <v/>
      </c>
      <c r="G40" s="10">
        <f>SUMIFS(Payables!$G:$G,Payables!$D:$D,A40,Payables!$H:$H,"&lt;&gt;Paid")</f>
        <v/>
      </c>
      <c r="H40" s="10">
        <f>F40-G40+(AVERAGE('Monthly Summary'!$D$3:$D$14)/30)</f>
        <v/>
      </c>
      <c r="I40" s="10">
        <f>B40+H40</f>
        <v/>
      </c>
      <c r="J40" s="10">
        <f>MAX(0,Settings!$B$12-I40)</f>
        <v/>
      </c>
    </row>
    <row r="41">
      <c r="A41" s="27">
        <f>A40+1</f>
        <v/>
      </c>
      <c r="B41" s="10">
        <f>I40</f>
        <v/>
      </c>
      <c r="C41" s="10">
        <f>SUMIFS(Transactions!$H:$H,Transactions!$A:$A,A41,Transactions!$E:$E,"Income",Transactions!$F:$F,"&lt;&gt;Cancelled")</f>
        <v/>
      </c>
      <c r="D41" s="10">
        <f>SUMIFS(Transactions!$H:$H,Transactions!$A:$A,A41,Transactions!$E:$E,"Expense",Transactions!$F:$F,"&lt;&gt;Cancelled")</f>
        <v/>
      </c>
      <c r="E41" s="10">
        <f>C41-D41</f>
        <v/>
      </c>
      <c r="F41" s="10">
        <f>SUMIFS(Receivables!$G:$G,Receivables!$D:$D,A41,Receivables!$H:$H,"&lt;&gt;Paid")</f>
        <v/>
      </c>
      <c r="G41" s="10">
        <f>SUMIFS(Payables!$G:$G,Payables!$D:$D,A41,Payables!$H:$H,"&lt;&gt;Paid")</f>
        <v/>
      </c>
      <c r="H41" s="10">
        <f>F41-G41+(AVERAGE('Monthly Summary'!$D$3:$D$14)/30)</f>
        <v/>
      </c>
      <c r="I41" s="10">
        <f>B41+H41</f>
        <v/>
      </c>
      <c r="J41" s="10">
        <f>MAX(0,Settings!$B$12-I41)</f>
        <v/>
      </c>
    </row>
    <row r="42">
      <c r="A42" s="27">
        <f>A41+1</f>
        <v/>
      </c>
      <c r="B42" s="10">
        <f>I41</f>
        <v/>
      </c>
      <c r="C42" s="10">
        <f>SUMIFS(Transactions!$H:$H,Transactions!$A:$A,A42,Transactions!$E:$E,"Income",Transactions!$F:$F,"&lt;&gt;Cancelled")</f>
        <v/>
      </c>
      <c r="D42" s="10">
        <f>SUMIFS(Transactions!$H:$H,Transactions!$A:$A,A42,Transactions!$E:$E,"Expense",Transactions!$F:$F,"&lt;&gt;Cancelled")</f>
        <v/>
      </c>
      <c r="E42" s="10">
        <f>C42-D42</f>
        <v/>
      </c>
      <c r="F42" s="10">
        <f>SUMIFS(Receivables!$G:$G,Receivables!$D:$D,A42,Receivables!$H:$H,"&lt;&gt;Paid")</f>
        <v/>
      </c>
      <c r="G42" s="10">
        <f>SUMIFS(Payables!$G:$G,Payables!$D:$D,A42,Payables!$H:$H,"&lt;&gt;Paid")</f>
        <v/>
      </c>
      <c r="H42" s="10">
        <f>F42-G42+(AVERAGE('Monthly Summary'!$D$3:$D$14)/30)</f>
        <v/>
      </c>
      <c r="I42" s="10">
        <f>B42+H42</f>
        <v/>
      </c>
      <c r="J42" s="10">
        <f>MAX(0,Settings!$B$12-I42)</f>
        <v/>
      </c>
    </row>
    <row r="43">
      <c r="A43" s="27">
        <f>A42+1</f>
        <v/>
      </c>
      <c r="B43" s="10">
        <f>I42</f>
        <v/>
      </c>
      <c r="C43" s="10">
        <f>SUMIFS(Transactions!$H:$H,Transactions!$A:$A,A43,Transactions!$E:$E,"Income",Transactions!$F:$F,"&lt;&gt;Cancelled")</f>
        <v/>
      </c>
      <c r="D43" s="10">
        <f>SUMIFS(Transactions!$H:$H,Transactions!$A:$A,A43,Transactions!$E:$E,"Expense",Transactions!$F:$F,"&lt;&gt;Cancelled")</f>
        <v/>
      </c>
      <c r="E43" s="10">
        <f>C43-D43</f>
        <v/>
      </c>
      <c r="F43" s="10">
        <f>SUMIFS(Receivables!$G:$G,Receivables!$D:$D,A43,Receivables!$H:$H,"&lt;&gt;Paid")</f>
        <v/>
      </c>
      <c r="G43" s="10">
        <f>SUMIFS(Payables!$G:$G,Payables!$D:$D,A43,Payables!$H:$H,"&lt;&gt;Paid")</f>
        <v/>
      </c>
      <c r="H43" s="10">
        <f>F43-G43+(AVERAGE('Monthly Summary'!$D$3:$D$14)/30)</f>
        <v/>
      </c>
      <c r="I43" s="10">
        <f>B43+H43</f>
        <v/>
      </c>
      <c r="J43" s="10">
        <f>MAX(0,Settings!$B$12-I43)</f>
        <v/>
      </c>
    </row>
    <row r="44">
      <c r="A44" s="27">
        <f>A43+1</f>
        <v/>
      </c>
      <c r="B44" s="10">
        <f>I43</f>
        <v/>
      </c>
      <c r="C44" s="10">
        <f>SUMIFS(Transactions!$H:$H,Transactions!$A:$A,A44,Transactions!$E:$E,"Income",Transactions!$F:$F,"&lt;&gt;Cancelled")</f>
        <v/>
      </c>
      <c r="D44" s="10">
        <f>SUMIFS(Transactions!$H:$H,Transactions!$A:$A,A44,Transactions!$E:$E,"Expense",Transactions!$F:$F,"&lt;&gt;Cancelled")</f>
        <v/>
      </c>
      <c r="E44" s="10">
        <f>C44-D44</f>
        <v/>
      </c>
      <c r="F44" s="10">
        <f>SUMIFS(Receivables!$G:$G,Receivables!$D:$D,A44,Receivables!$H:$H,"&lt;&gt;Paid")</f>
        <v/>
      </c>
      <c r="G44" s="10">
        <f>SUMIFS(Payables!$G:$G,Payables!$D:$D,A44,Payables!$H:$H,"&lt;&gt;Paid")</f>
        <v/>
      </c>
      <c r="H44" s="10">
        <f>F44-G44+(AVERAGE('Monthly Summary'!$D$3:$D$14)/30)</f>
        <v/>
      </c>
      <c r="I44" s="10">
        <f>B44+H44</f>
        <v/>
      </c>
      <c r="J44" s="10">
        <f>MAX(0,Settings!$B$12-I44)</f>
        <v/>
      </c>
    </row>
    <row r="45">
      <c r="A45" s="27">
        <f>A44+1</f>
        <v/>
      </c>
      <c r="B45" s="10">
        <f>I44</f>
        <v/>
      </c>
      <c r="C45" s="10">
        <f>SUMIFS(Transactions!$H:$H,Transactions!$A:$A,A45,Transactions!$E:$E,"Income",Transactions!$F:$F,"&lt;&gt;Cancelled")</f>
        <v/>
      </c>
      <c r="D45" s="10">
        <f>SUMIFS(Transactions!$H:$H,Transactions!$A:$A,A45,Transactions!$E:$E,"Expense",Transactions!$F:$F,"&lt;&gt;Cancelled")</f>
        <v/>
      </c>
      <c r="E45" s="10">
        <f>C45-D45</f>
        <v/>
      </c>
      <c r="F45" s="10">
        <f>SUMIFS(Receivables!$G:$G,Receivables!$D:$D,A45,Receivables!$H:$H,"&lt;&gt;Paid")</f>
        <v/>
      </c>
      <c r="G45" s="10">
        <f>SUMIFS(Payables!$G:$G,Payables!$D:$D,A45,Payables!$H:$H,"&lt;&gt;Paid")</f>
        <v/>
      </c>
      <c r="H45" s="10">
        <f>F45-G45+(AVERAGE('Monthly Summary'!$D$3:$D$14)/30)</f>
        <v/>
      </c>
      <c r="I45" s="10">
        <f>B45+H45</f>
        <v/>
      </c>
      <c r="J45" s="10">
        <f>MAX(0,Settings!$B$12-I45)</f>
        <v/>
      </c>
    </row>
    <row r="46">
      <c r="A46" s="27">
        <f>A45+1</f>
        <v/>
      </c>
      <c r="B46" s="10">
        <f>I45</f>
        <v/>
      </c>
      <c r="C46" s="10">
        <f>SUMIFS(Transactions!$H:$H,Transactions!$A:$A,A46,Transactions!$E:$E,"Income",Transactions!$F:$F,"&lt;&gt;Cancelled")</f>
        <v/>
      </c>
      <c r="D46" s="10">
        <f>SUMIFS(Transactions!$H:$H,Transactions!$A:$A,A46,Transactions!$E:$E,"Expense",Transactions!$F:$F,"&lt;&gt;Cancelled")</f>
        <v/>
      </c>
      <c r="E46" s="10">
        <f>C46-D46</f>
        <v/>
      </c>
      <c r="F46" s="10">
        <f>SUMIFS(Receivables!$G:$G,Receivables!$D:$D,A46,Receivables!$H:$H,"&lt;&gt;Paid")</f>
        <v/>
      </c>
      <c r="G46" s="10">
        <f>SUMIFS(Payables!$G:$G,Payables!$D:$D,A46,Payables!$H:$H,"&lt;&gt;Paid")</f>
        <v/>
      </c>
      <c r="H46" s="10">
        <f>F46-G46+(AVERAGE('Monthly Summary'!$D$3:$D$14)/30)</f>
        <v/>
      </c>
      <c r="I46" s="10">
        <f>B46+H46</f>
        <v/>
      </c>
      <c r="J46" s="10">
        <f>MAX(0,Settings!$B$12-I46)</f>
        <v/>
      </c>
    </row>
    <row r="47">
      <c r="A47" s="27">
        <f>A46+1</f>
        <v/>
      </c>
      <c r="B47" s="10">
        <f>I46</f>
        <v/>
      </c>
      <c r="C47" s="10">
        <f>SUMIFS(Transactions!$H:$H,Transactions!$A:$A,A47,Transactions!$E:$E,"Income",Transactions!$F:$F,"&lt;&gt;Cancelled")</f>
        <v/>
      </c>
      <c r="D47" s="10">
        <f>SUMIFS(Transactions!$H:$H,Transactions!$A:$A,A47,Transactions!$E:$E,"Expense",Transactions!$F:$F,"&lt;&gt;Cancelled")</f>
        <v/>
      </c>
      <c r="E47" s="10">
        <f>C47-D47</f>
        <v/>
      </c>
      <c r="F47" s="10">
        <f>SUMIFS(Receivables!$G:$G,Receivables!$D:$D,A47,Receivables!$H:$H,"&lt;&gt;Paid")</f>
        <v/>
      </c>
      <c r="G47" s="10">
        <f>SUMIFS(Payables!$G:$G,Payables!$D:$D,A47,Payables!$H:$H,"&lt;&gt;Paid")</f>
        <v/>
      </c>
      <c r="H47" s="10">
        <f>F47-G47+(AVERAGE('Monthly Summary'!$D$3:$D$14)/30)</f>
        <v/>
      </c>
      <c r="I47" s="10">
        <f>B47+H47</f>
        <v/>
      </c>
      <c r="J47" s="10">
        <f>MAX(0,Settings!$B$12-I47)</f>
        <v/>
      </c>
    </row>
    <row r="48">
      <c r="A48" s="27">
        <f>A47+1</f>
        <v/>
      </c>
      <c r="B48" s="10">
        <f>I47</f>
        <v/>
      </c>
      <c r="C48" s="10">
        <f>SUMIFS(Transactions!$H:$H,Transactions!$A:$A,A48,Transactions!$E:$E,"Income",Transactions!$F:$F,"&lt;&gt;Cancelled")</f>
        <v/>
      </c>
      <c r="D48" s="10">
        <f>SUMIFS(Transactions!$H:$H,Transactions!$A:$A,A48,Transactions!$E:$E,"Expense",Transactions!$F:$F,"&lt;&gt;Cancelled")</f>
        <v/>
      </c>
      <c r="E48" s="10">
        <f>C48-D48</f>
        <v/>
      </c>
      <c r="F48" s="10">
        <f>SUMIFS(Receivables!$G:$G,Receivables!$D:$D,A48,Receivables!$H:$H,"&lt;&gt;Paid")</f>
        <v/>
      </c>
      <c r="G48" s="10">
        <f>SUMIFS(Payables!$G:$G,Payables!$D:$D,A48,Payables!$H:$H,"&lt;&gt;Paid")</f>
        <v/>
      </c>
      <c r="H48" s="10">
        <f>F48-G48+(AVERAGE('Monthly Summary'!$D$3:$D$14)/30)</f>
        <v/>
      </c>
      <c r="I48" s="10">
        <f>B48+H48</f>
        <v/>
      </c>
      <c r="J48" s="10">
        <f>MAX(0,Settings!$B$12-I48)</f>
        <v/>
      </c>
    </row>
    <row r="49">
      <c r="A49" s="27">
        <f>A48+1</f>
        <v/>
      </c>
      <c r="B49" s="10">
        <f>I48</f>
        <v/>
      </c>
      <c r="C49" s="10">
        <f>SUMIFS(Transactions!$H:$H,Transactions!$A:$A,A49,Transactions!$E:$E,"Income",Transactions!$F:$F,"&lt;&gt;Cancelled")</f>
        <v/>
      </c>
      <c r="D49" s="10">
        <f>SUMIFS(Transactions!$H:$H,Transactions!$A:$A,A49,Transactions!$E:$E,"Expense",Transactions!$F:$F,"&lt;&gt;Cancelled")</f>
        <v/>
      </c>
      <c r="E49" s="10">
        <f>C49-D49</f>
        <v/>
      </c>
      <c r="F49" s="10">
        <f>SUMIFS(Receivables!$G:$G,Receivables!$D:$D,A49,Receivables!$H:$H,"&lt;&gt;Paid")</f>
        <v/>
      </c>
      <c r="G49" s="10">
        <f>SUMIFS(Payables!$G:$G,Payables!$D:$D,A49,Payables!$H:$H,"&lt;&gt;Paid")</f>
        <v/>
      </c>
      <c r="H49" s="10">
        <f>F49-G49+(AVERAGE('Monthly Summary'!$D$3:$D$14)/30)</f>
        <v/>
      </c>
      <c r="I49" s="10">
        <f>B49+H49</f>
        <v/>
      </c>
      <c r="J49" s="10">
        <f>MAX(0,Settings!$B$12-I49)</f>
        <v/>
      </c>
    </row>
    <row r="50">
      <c r="A50" s="27">
        <f>A49+1</f>
        <v/>
      </c>
      <c r="B50" s="10">
        <f>I49</f>
        <v/>
      </c>
      <c r="C50" s="10">
        <f>SUMIFS(Transactions!$H:$H,Transactions!$A:$A,A50,Transactions!$E:$E,"Income",Transactions!$F:$F,"&lt;&gt;Cancelled")</f>
        <v/>
      </c>
      <c r="D50" s="10">
        <f>SUMIFS(Transactions!$H:$H,Transactions!$A:$A,A50,Transactions!$E:$E,"Expense",Transactions!$F:$F,"&lt;&gt;Cancelled")</f>
        <v/>
      </c>
      <c r="E50" s="10">
        <f>C50-D50</f>
        <v/>
      </c>
      <c r="F50" s="10">
        <f>SUMIFS(Receivables!$G:$G,Receivables!$D:$D,A50,Receivables!$H:$H,"&lt;&gt;Paid")</f>
        <v/>
      </c>
      <c r="G50" s="10">
        <f>SUMIFS(Payables!$G:$G,Payables!$D:$D,A50,Payables!$H:$H,"&lt;&gt;Paid")</f>
        <v/>
      </c>
      <c r="H50" s="10">
        <f>F50-G50+(AVERAGE('Monthly Summary'!$D$3:$D$14)/30)</f>
        <v/>
      </c>
      <c r="I50" s="10">
        <f>B50+H50</f>
        <v/>
      </c>
      <c r="J50" s="10">
        <f>MAX(0,Settings!$B$12-I50)</f>
        <v/>
      </c>
    </row>
    <row r="51">
      <c r="A51" s="27">
        <f>A50+1</f>
        <v/>
      </c>
      <c r="B51" s="10">
        <f>I50</f>
        <v/>
      </c>
      <c r="C51" s="10">
        <f>SUMIFS(Transactions!$H:$H,Transactions!$A:$A,A51,Transactions!$E:$E,"Income",Transactions!$F:$F,"&lt;&gt;Cancelled")</f>
        <v/>
      </c>
      <c r="D51" s="10">
        <f>SUMIFS(Transactions!$H:$H,Transactions!$A:$A,A51,Transactions!$E:$E,"Expense",Transactions!$F:$F,"&lt;&gt;Cancelled")</f>
        <v/>
      </c>
      <c r="E51" s="10">
        <f>C51-D51</f>
        <v/>
      </c>
      <c r="F51" s="10">
        <f>SUMIFS(Receivables!$G:$G,Receivables!$D:$D,A51,Receivables!$H:$H,"&lt;&gt;Paid")</f>
        <v/>
      </c>
      <c r="G51" s="10">
        <f>SUMIFS(Payables!$G:$G,Payables!$D:$D,A51,Payables!$H:$H,"&lt;&gt;Paid")</f>
        <v/>
      </c>
      <c r="H51" s="10">
        <f>F51-G51+(AVERAGE('Monthly Summary'!$D$3:$D$14)/30)</f>
        <v/>
      </c>
      <c r="I51" s="10">
        <f>B51+H51</f>
        <v/>
      </c>
      <c r="J51" s="10">
        <f>MAX(0,Settings!$B$12-I51)</f>
        <v/>
      </c>
    </row>
    <row r="52">
      <c r="A52" s="27">
        <f>A51+1</f>
        <v/>
      </c>
      <c r="B52" s="10">
        <f>I51</f>
        <v/>
      </c>
      <c r="C52" s="10">
        <f>SUMIFS(Transactions!$H:$H,Transactions!$A:$A,A52,Transactions!$E:$E,"Income",Transactions!$F:$F,"&lt;&gt;Cancelled")</f>
        <v/>
      </c>
      <c r="D52" s="10">
        <f>SUMIFS(Transactions!$H:$H,Transactions!$A:$A,A52,Transactions!$E:$E,"Expense",Transactions!$F:$F,"&lt;&gt;Cancelled")</f>
        <v/>
      </c>
      <c r="E52" s="10">
        <f>C52-D52</f>
        <v/>
      </c>
      <c r="F52" s="10">
        <f>SUMIFS(Receivables!$G:$G,Receivables!$D:$D,A52,Receivables!$H:$H,"&lt;&gt;Paid")</f>
        <v/>
      </c>
      <c r="G52" s="10">
        <f>SUMIFS(Payables!$G:$G,Payables!$D:$D,A52,Payables!$H:$H,"&lt;&gt;Paid")</f>
        <v/>
      </c>
      <c r="H52" s="10">
        <f>F52-G52+(AVERAGE('Monthly Summary'!$D$3:$D$14)/30)</f>
        <v/>
      </c>
      <c r="I52" s="10">
        <f>B52+H52</f>
        <v/>
      </c>
      <c r="J52" s="10">
        <f>MAX(0,Settings!$B$12-I52)</f>
        <v/>
      </c>
    </row>
    <row r="53">
      <c r="A53" s="27">
        <f>A52+1</f>
        <v/>
      </c>
      <c r="B53" s="10">
        <f>I52</f>
        <v/>
      </c>
      <c r="C53" s="10">
        <f>SUMIFS(Transactions!$H:$H,Transactions!$A:$A,A53,Transactions!$E:$E,"Income",Transactions!$F:$F,"&lt;&gt;Cancelled")</f>
        <v/>
      </c>
      <c r="D53" s="10">
        <f>SUMIFS(Transactions!$H:$H,Transactions!$A:$A,A53,Transactions!$E:$E,"Expense",Transactions!$F:$F,"&lt;&gt;Cancelled")</f>
        <v/>
      </c>
      <c r="E53" s="10">
        <f>C53-D53</f>
        <v/>
      </c>
      <c r="F53" s="10">
        <f>SUMIFS(Receivables!$G:$G,Receivables!$D:$D,A53,Receivables!$H:$H,"&lt;&gt;Paid")</f>
        <v/>
      </c>
      <c r="G53" s="10">
        <f>SUMIFS(Payables!$G:$G,Payables!$D:$D,A53,Payables!$H:$H,"&lt;&gt;Paid")</f>
        <v/>
      </c>
      <c r="H53" s="10">
        <f>F53-G53+(AVERAGE('Monthly Summary'!$D$3:$D$14)/30)</f>
        <v/>
      </c>
      <c r="I53" s="10">
        <f>B53+H53</f>
        <v/>
      </c>
      <c r="J53" s="10">
        <f>MAX(0,Settings!$B$12-I53)</f>
        <v/>
      </c>
    </row>
    <row r="54">
      <c r="A54" s="27">
        <f>A53+1</f>
        <v/>
      </c>
      <c r="B54" s="10">
        <f>I53</f>
        <v/>
      </c>
      <c r="C54" s="10">
        <f>SUMIFS(Transactions!$H:$H,Transactions!$A:$A,A54,Transactions!$E:$E,"Income",Transactions!$F:$F,"&lt;&gt;Cancelled")</f>
        <v/>
      </c>
      <c r="D54" s="10">
        <f>SUMIFS(Transactions!$H:$H,Transactions!$A:$A,A54,Transactions!$E:$E,"Expense",Transactions!$F:$F,"&lt;&gt;Cancelled")</f>
        <v/>
      </c>
      <c r="E54" s="10">
        <f>C54-D54</f>
        <v/>
      </c>
      <c r="F54" s="10">
        <f>SUMIFS(Receivables!$G:$G,Receivables!$D:$D,A54,Receivables!$H:$H,"&lt;&gt;Paid")</f>
        <v/>
      </c>
      <c r="G54" s="10">
        <f>SUMIFS(Payables!$G:$G,Payables!$D:$D,A54,Payables!$H:$H,"&lt;&gt;Paid")</f>
        <v/>
      </c>
      <c r="H54" s="10">
        <f>F54-G54+(AVERAGE('Monthly Summary'!$D$3:$D$14)/30)</f>
        <v/>
      </c>
      <c r="I54" s="10">
        <f>B54+H54</f>
        <v/>
      </c>
      <c r="J54" s="10">
        <f>MAX(0,Settings!$B$12-I54)</f>
        <v/>
      </c>
    </row>
    <row r="55">
      <c r="A55" s="27">
        <f>A54+1</f>
        <v/>
      </c>
      <c r="B55" s="10">
        <f>I54</f>
        <v/>
      </c>
      <c r="C55" s="10">
        <f>SUMIFS(Transactions!$H:$H,Transactions!$A:$A,A55,Transactions!$E:$E,"Income",Transactions!$F:$F,"&lt;&gt;Cancelled")</f>
        <v/>
      </c>
      <c r="D55" s="10">
        <f>SUMIFS(Transactions!$H:$H,Transactions!$A:$A,A55,Transactions!$E:$E,"Expense",Transactions!$F:$F,"&lt;&gt;Cancelled")</f>
        <v/>
      </c>
      <c r="E55" s="10">
        <f>C55-D55</f>
        <v/>
      </c>
      <c r="F55" s="10">
        <f>SUMIFS(Receivables!$G:$G,Receivables!$D:$D,A55,Receivables!$H:$H,"&lt;&gt;Paid")</f>
        <v/>
      </c>
      <c r="G55" s="10">
        <f>SUMIFS(Payables!$G:$G,Payables!$D:$D,A55,Payables!$H:$H,"&lt;&gt;Paid")</f>
        <v/>
      </c>
      <c r="H55" s="10">
        <f>F55-G55+(AVERAGE('Monthly Summary'!$D$3:$D$14)/30)</f>
        <v/>
      </c>
      <c r="I55" s="10">
        <f>B55+H55</f>
        <v/>
      </c>
      <c r="J55" s="10">
        <f>MAX(0,Settings!$B$12-I55)</f>
        <v/>
      </c>
    </row>
    <row r="56">
      <c r="A56" s="27">
        <f>A55+1</f>
        <v/>
      </c>
      <c r="B56" s="10">
        <f>I55</f>
        <v/>
      </c>
      <c r="C56" s="10">
        <f>SUMIFS(Transactions!$H:$H,Transactions!$A:$A,A56,Transactions!$E:$E,"Income",Transactions!$F:$F,"&lt;&gt;Cancelled")</f>
        <v/>
      </c>
      <c r="D56" s="10">
        <f>SUMIFS(Transactions!$H:$H,Transactions!$A:$A,A56,Transactions!$E:$E,"Expense",Transactions!$F:$F,"&lt;&gt;Cancelled")</f>
        <v/>
      </c>
      <c r="E56" s="10">
        <f>C56-D56</f>
        <v/>
      </c>
      <c r="F56" s="10">
        <f>SUMIFS(Receivables!$G:$G,Receivables!$D:$D,A56,Receivables!$H:$H,"&lt;&gt;Paid")</f>
        <v/>
      </c>
      <c r="G56" s="10">
        <f>SUMIFS(Payables!$G:$G,Payables!$D:$D,A56,Payables!$H:$H,"&lt;&gt;Paid")</f>
        <v/>
      </c>
      <c r="H56" s="10">
        <f>F56-G56+(AVERAGE('Monthly Summary'!$D$3:$D$14)/30)</f>
        <v/>
      </c>
      <c r="I56" s="10">
        <f>B56+H56</f>
        <v/>
      </c>
      <c r="J56" s="10">
        <f>MAX(0,Settings!$B$12-I56)</f>
        <v/>
      </c>
    </row>
    <row r="57">
      <c r="A57" s="27">
        <f>A56+1</f>
        <v/>
      </c>
      <c r="B57" s="10">
        <f>I56</f>
        <v/>
      </c>
      <c r="C57" s="10">
        <f>SUMIFS(Transactions!$H:$H,Transactions!$A:$A,A57,Transactions!$E:$E,"Income",Transactions!$F:$F,"&lt;&gt;Cancelled")</f>
        <v/>
      </c>
      <c r="D57" s="10">
        <f>SUMIFS(Transactions!$H:$H,Transactions!$A:$A,A57,Transactions!$E:$E,"Expense",Transactions!$F:$F,"&lt;&gt;Cancelled")</f>
        <v/>
      </c>
      <c r="E57" s="10">
        <f>C57-D57</f>
        <v/>
      </c>
      <c r="F57" s="10">
        <f>SUMIFS(Receivables!$G:$G,Receivables!$D:$D,A57,Receivables!$H:$H,"&lt;&gt;Paid")</f>
        <v/>
      </c>
      <c r="G57" s="10">
        <f>SUMIFS(Payables!$G:$G,Payables!$D:$D,A57,Payables!$H:$H,"&lt;&gt;Paid")</f>
        <v/>
      </c>
      <c r="H57" s="10">
        <f>F57-G57+(AVERAGE('Monthly Summary'!$D$3:$D$14)/30)</f>
        <v/>
      </c>
      <c r="I57" s="10">
        <f>B57+H57</f>
        <v/>
      </c>
      <c r="J57" s="10">
        <f>MAX(0,Settings!$B$12-I57)</f>
        <v/>
      </c>
    </row>
    <row r="58">
      <c r="A58" s="27">
        <f>A57+1</f>
        <v/>
      </c>
      <c r="B58" s="10">
        <f>I57</f>
        <v/>
      </c>
      <c r="C58" s="10">
        <f>SUMIFS(Transactions!$H:$H,Transactions!$A:$A,A58,Transactions!$E:$E,"Income",Transactions!$F:$F,"&lt;&gt;Cancelled")</f>
        <v/>
      </c>
      <c r="D58" s="10">
        <f>SUMIFS(Transactions!$H:$H,Transactions!$A:$A,A58,Transactions!$E:$E,"Expense",Transactions!$F:$F,"&lt;&gt;Cancelled")</f>
        <v/>
      </c>
      <c r="E58" s="10">
        <f>C58-D58</f>
        <v/>
      </c>
      <c r="F58" s="10">
        <f>SUMIFS(Receivables!$G:$G,Receivables!$D:$D,A58,Receivables!$H:$H,"&lt;&gt;Paid")</f>
        <v/>
      </c>
      <c r="G58" s="10">
        <f>SUMIFS(Payables!$G:$G,Payables!$D:$D,A58,Payables!$H:$H,"&lt;&gt;Paid")</f>
        <v/>
      </c>
      <c r="H58" s="10">
        <f>F58-G58+(AVERAGE('Monthly Summary'!$D$3:$D$14)/30)</f>
        <v/>
      </c>
      <c r="I58" s="10">
        <f>B58+H58</f>
        <v/>
      </c>
      <c r="J58" s="10">
        <f>MAX(0,Settings!$B$12-I58)</f>
        <v/>
      </c>
    </row>
    <row r="59">
      <c r="A59" s="27">
        <f>A58+1</f>
        <v/>
      </c>
      <c r="B59" s="10">
        <f>I58</f>
        <v/>
      </c>
      <c r="C59" s="10">
        <f>SUMIFS(Transactions!$H:$H,Transactions!$A:$A,A59,Transactions!$E:$E,"Income",Transactions!$F:$F,"&lt;&gt;Cancelled")</f>
        <v/>
      </c>
      <c r="D59" s="10">
        <f>SUMIFS(Transactions!$H:$H,Transactions!$A:$A,A59,Transactions!$E:$E,"Expense",Transactions!$F:$F,"&lt;&gt;Cancelled")</f>
        <v/>
      </c>
      <c r="E59" s="10">
        <f>C59-D59</f>
        <v/>
      </c>
      <c r="F59" s="10">
        <f>SUMIFS(Receivables!$G:$G,Receivables!$D:$D,A59,Receivables!$H:$H,"&lt;&gt;Paid")</f>
        <v/>
      </c>
      <c r="G59" s="10">
        <f>SUMIFS(Payables!$G:$G,Payables!$D:$D,A59,Payables!$H:$H,"&lt;&gt;Paid")</f>
        <v/>
      </c>
      <c r="H59" s="10">
        <f>F59-G59+(AVERAGE('Monthly Summary'!$D$3:$D$14)/30)</f>
        <v/>
      </c>
      <c r="I59" s="10">
        <f>B59+H59</f>
        <v/>
      </c>
      <c r="J59" s="10">
        <f>MAX(0,Settings!$B$12-I59)</f>
        <v/>
      </c>
    </row>
    <row r="60">
      <c r="A60" s="27">
        <f>A59+1</f>
        <v/>
      </c>
      <c r="B60" s="10">
        <f>I59</f>
        <v/>
      </c>
      <c r="C60" s="10">
        <f>SUMIFS(Transactions!$H:$H,Transactions!$A:$A,A60,Transactions!$E:$E,"Income",Transactions!$F:$F,"&lt;&gt;Cancelled")</f>
        <v/>
      </c>
      <c r="D60" s="10">
        <f>SUMIFS(Transactions!$H:$H,Transactions!$A:$A,A60,Transactions!$E:$E,"Expense",Transactions!$F:$F,"&lt;&gt;Cancelled")</f>
        <v/>
      </c>
      <c r="E60" s="10">
        <f>C60-D60</f>
        <v/>
      </c>
      <c r="F60" s="10">
        <f>SUMIFS(Receivables!$G:$G,Receivables!$D:$D,A60,Receivables!$H:$H,"&lt;&gt;Paid")</f>
        <v/>
      </c>
      <c r="G60" s="10">
        <f>SUMIFS(Payables!$G:$G,Payables!$D:$D,A60,Payables!$H:$H,"&lt;&gt;Paid")</f>
        <v/>
      </c>
      <c r="H60" s="10">
        <f>F60-G60+(AVERAGE('Monthly Summary'!$D$3:$D$14)/30)</f>
        <v/>
      </c>
      <c r="I60" s="10">
        <f>B60+H60</f>
        <v/>
      </c>
      <c r="J60" s="10">
        <f>MAX(0,Settings!$B$12-I60)</f>
        <v/>
      </c>
    </row>
    <row r="61">
      <c r="A61" s="27">
        <f>A60+1</f>
        <v/>
      </c>
      <c r="B61" s="10">
        <f>I60</f>
        <v/>
      </c>
      <c r="C61" s="10">
        <f>SUMIFS(Transactions!$H:$H,Transactions!$A:$A,A61,Transactions!$E:$E,"Income",Transactions!$F:$F,"&lt;&gt;Cancelled")</f>
        <v/>
      </c>
      <c r="D61" s="10">
        <f>SUMIFS(Transactions!$H:$H,Transactions!$A:$A,A61,Transactions!$E:$E,"Expense",Transactions!$F:$F,"&lt;&gt;Cancelled")</f>
        <v/>
      </c>
      <c r="E61" s="10">
        <f>C61-D61</f>
        <v/>
      </c>
      <c r="F61" s="10">
        <f>SUMIFS(Receivables!$G:$G,Receivables!$D:$D,A61,Receivables!$H:$H,"&lt;&gt;Paid")</f>
        <v/>
      </c>
      <c r="G61" s="10">
        <f>SUMIFS(Payables!$G:$G,Payables!$D:$D,A61,Payables!$H:$H,"&lt;&gt;Paid")</f>
        <v/>
      </c>
      <c r="H61" s="10">
        <f>F61-G61+(AVERAGE('Monthly Summary'!$D$3:$D$14)/30)</f>
        <v/>
      </c>
      <c r="I61" s="10">
        <f>B61+H61</f>
        <v/>
      </c>
      <c r="J61" s="10">
        <f>MAX(0,Settings!$B$12-I61)</f>
        <v/>
      </c>
    </row>
    <row r="62">
      <c r="A62" s="27">
        <f>A61+1</f>
        <v/>
      </c>
      <c r="B62" s="10">
        <f>I61</f>
        <v/>
      </c>
      <c r="C62" s="10">
        <f>SUMIFS(Transactions!$H:$H,Transactions!$A:$A,A62,Transactions!$E:$E,"Income",Transactions!$F:$F,"&lt;&gt;Cancelled")</f>
        <v/>
      </c>
      <c r="D62" s="10">
        <f>SUMIFS(Transactions!$H:$H,Transactions!$A:$A,A62,Transactions!$E:$E,"Expense",Transactions!$F:$F,"&lt;&gt;Cancelled")</f>
        <v/>
      </c>
      <c r="E62" s="10">
        <f>C62-D62</f>
        <v/>
      </c>
      <c r="F62" s="10">
        <f>SUMIFS(Receivables!$G:$G,Receivables!$D:$D,A62,Receivables!$H:$H,"&lt;&gt;Paid")</f>
        <v/>
      </c>
      <c r="G62" s="10">
        <f>SUMIFS(Payables!$G:$G,Payables!$D:$D,A62,Payables!$H:$H,"&lt;&gt;Paid")</f>
        <v/>
      </c>
      <c r="H62" s="10">
        <f>F62-G62+(AVERAGE('Monthly Summary'!$D$3:$D$14)/30)</f>
        <v/>
      </c>
      <c r="I62" s="10">
        <f>B62+H62</f>
        <v/>
      </c>
      <c r="J62" s="10">
        <f>MAX(0,Settings!$B$12-I62)</f>
        <v/>
      </c>
    </row>
    <row r="63">
      <c r="A63" s="27">
        <f>A62+1</f>
        <v/>
      </c>
      <c r="B63" s="10">
        <f>I62</f>
        <v/>
      </c>
      <c r="C63" s="10">
        <f>SUMIFS(Transactions!$H:$H,Transactions!$A:$A,A63,Transactions!$E:$E,"Income",Transactions!$F:$F,"&lt;&gt;Cancelled")</f>
        <v/>
      </c>
      <c r="D63" s="10">
        <f>SUMIFS(Transactions!$H:$H,Transactions!$A:$A,A63,Transactions!$E:$E,"Expense",Transactions!$F:$F,"&lt;&gt;Cancelled")</f>
        <v/>
      </c>
      <c r="E63" s="10">
        <f>C63-D63</f>
        <v/>
      </c>
      <c r="F63" s="10">
        <f>SUMIFS(Receivables!$G:$G,Receivables!$D:$D,A63,Receivables!$H:$H,"&lt;&gt;Paid")</f>
        <v/>
      </c>
      <c r="G63" s="10">
        <f>SUMIFS(Payables!$G:$G,Payables!$D:$D,A63,Payables!$H:$H,"&lt;&gt;Paid")</f>
        <v/>
      </c>
      <c r="H63" s="10">
        <f>F63-G63+(AVERAGE('Monthly Summary'!$D$3:$D$14)/30)</f>
        <v/>
      </c>
      <c r="I63" s="10">
        <f>B63+H63</f>
        <v/>
      </c>
      <c r="J63" s="10">
        <f>MAX(0,Settings!$B$12-I63)</f>
        <v/>
      </c>
    </row>
    <row r="64">
      <c r="A64" s="27">
        <f>A63+1</f>
        <v/>
      </c>
      <c r="B64" s="10">
        <f>I63</f>
        <v/>
      </c>
      <c r="C64" s="10">
        <f>SUMIFS(Transactions!$H:$H,Transactions!$A:$A,A64,Transactions!$E:$E,"Income",Transactions!$F:$F,"&lt;&gt;Cancelled")</f>
        <v/>
      </c>
      <c r="D64" s="10">
        <f>SUMIFS(Transactions!$H:$H,Transactions!$A:$A,A64,Transactions!$E:$E,"Expense",Transactions!$F:$F,"&lt;&gt;Cancelled")</f>
        <v/>
      </c>
      <c r="E64" s="10">
        <f>C64-D64</f>
        <v/>
      </c>
      <c r="F64" s="10">
        <f>SUMIFS(Receivables!$G:$G,Receivables!$D:$D,A64,Receivables!$H:$H,"&lt;&gt;Paid")</f>
        <v/>
      </c>
      <c r="G64" s="10">
        <f>SUMIFS(Payables!$G:$G,Payables!$D:$D,A64,Payables!$H:$H,"&lt;&gt;Paid")</f>
        <v/>
      </c>
      <c r="H64" s="10">
        <f>F64-G64+(AVERAGE('Monthly Summary'!$D$3:$D$14)/30)</f>
        <v/>
      </c>
      <c r="I64" s="10">
        <f>B64+H64</f>
        <v/>
      </c>
      <c r="J64" s="10">
        <f>MAX(0,Settings!$B$12-I64)</f>
        <v/>
      </c>
    </row>
    <row r="65">
      <c r="A65" s="27">
        <f>A64+1</f>
        <v/>
      </c>
      <c r="B65" s="10">
        <f>I64</f>
        <v/>
      </c>
      <c r="C65" s="10">
        <f>SUMIFS(Transactions!$H:$H,Transactions!$A:$A,A65,Transactions!$E:$E,"Income",Transactions!$F:$F,"&lt;&gt;Cancelled")</f>
        <v/>
      </c>
      <c r="D65" s="10">
        <f>SUMIFS(Transactions!$H:$H,Transactions!$A:$A,A65,Transactions!$E:$E,"Expense",Transactions!$F:$F,"&lt;&gt;Cancelled")</f>
        <v/>
      </c>
      <c r="E65" s="10">
        <f>C65-D65</f>
        <v/>
      </c>
      <c r="F65" s="10">
        <f>SUMIFS(Receivables!$G:$G,Receivables!$D:$D,A65,Receivables!$H:$H,"&lt;&gt;Paid")</f>
        <v/>
      </c>
      <c r="G65" s="10">
        <f>SUMIFS(Payables!$G:$G,Payables!$D:$D,A65,Payables!$H:$H,"&lt;&gt;Paid")</f>
        <v/>
      </c>
      <c r="H65" s="10">
        <f>F65-G65+(AVERAGE('Monthly Summary'!$D$3:$D$14)/30)</f>
        <v/>
      </c>
      <c r="I65" s="10">
        <f>B65+H65</f>
        <v/>
      </c>
      <c r="J65" s="10">
        <f>MAX(0,Settings!$B$12-I65)</f>
        <v/>
      </c>
    </row>
    <row r="66">
      <c r="A66" s="27">
        <f>A65+1</f>
        <v/>
      </c>
      <c r="B66" s="10">
        <f>I65</f>
        <v/>
      </c>
      <c r="C66" s="10">
        <f>SUMIFS(Transactions!$H:$H,Transactions!$A:$A,A66,Transactions!$E:$E,"Income",Transactions!$F:$F,"&lt;&gt;Cancelled")</f>
        <v/>
      </c>
      <c r="D66" s="10">
        <f>SUMIFS(Transactions!$H:$H,Transactions!$A:$A,A66,Transactions!$E:$E,"Expense",Transactions!$F:$F,"&lt;&gt;Cancelled")</f>
        <v/>
      </c>
      <c r="E66" s="10">
        <f>C66-D66</f>
        <v/>
      </c>
      <c r="F66" s="10">
        <f>SUMIFS(Receivables!$G:$G,Receivables!$D:$D,A66,Receivables!$H:$H,"&lt;&gt;Paid")</f>
        <v/>
      </c>
      <c r="G66" s="10">
        <f>SUMIFS(Payables!$G:$G,Payables!$D:$D,A66,Payables!$H:$H,"&lt;&gt;Paid")</f>
        <v/>
      </c>
      <c r="H66" s="10">
        <f>F66-G66+(AVERAGE('Monthly Summary'!$D$3:$D$14)/30)</f>
        <v/>
      </c>
      <c r="I66" s="10">
        <f>B66+H66</f>
        <v/>
      </c>
      <c r="J66" s="10">
        <f>MAX(0,Settings!$B$12-I66)</f>
        <v/>
      </c>
    </row>
    <row r="67">
      <c r="A67" s="27">
        <f>A66+1</f>
        <v/>
      </c>
      <c r="B67" s="10">
        <f>I66</f>
        <v/>
      </c>
      <c r="C67" s="10">
        <f>SUMIFS(Transactions!$H:$H,Transactions!$A:$A,A67,Transactions!$E:$E,"Income",Transactions!$F:$F,"&lt;&gt;Cancelled")</f>
        <v/>
      </c>
      <c r="D67" s="10">
        <f>SUMIFS(Transactions!$H:$H,Transactions!$A:$A,A67,Transactions!$E:$E,"Expense",Transactions!$F:$F,"&lt;&gt;Cancelled")</f>
        <v/>
      </c>
      <c r="E67" s="10">
        <f>C67-D67</f>
        <v/>
      </c>
      <c r="F67" s="10">
        <f>SUMIFS(Receivables!$G:$G,Receivables!$D:$D,A67,Receivables!$H:$H,"&lt;&gt;Paid")</f>
        <v/>
      </c>
      <c r="G67" s="10">
        <f>SUMIFS(Payables!$G:$G,Payables!$D:$D,A67,Payables!$H:$H,"&lt;&gt;Paid")</f>
        <v/>
      </c>
      <c r="H67" s="10">
        <f>F67-G67+(AVERAGE('Monthly Summary'!$D$3:$D$14)/30)</f>
        <v/>
      </c>
      <c r="I67" s="10">
        <f>B67+H67</f>
        <v/>
      </c>
      <c r="J67" s="10">
        <f>MAX(0,Settings!$B$12-I67)</f>
        <v/>
      </c>
    </row>
    <row r="68">
      <c r="A68" s="27">
        <f>A67+1</f>
        <v/>
      </c>
      <c r="B68" s="10">
        <f>I67</f>
        <v/>
      </c>
      <c r="C68" s="10">
        <f>SUMIFS(Transactions!$H:$H,Transactions!$A:$A,A68,Transactions!$E:$E,"Income",Transactions!$F:$F,"&lt;&gt;Cancelled")</f>
        <v/>
      </c>
      <c r="D68" s="10">
        <f>SUMIFS(Transactions!$H:$H,Transactions!$A:$A,A68,Transactions!$E:$E,"Expense",Transactions!$F:$F,"&lt;&gt;Cancelled")</f>
        <v/>
      </c>
      <c r="E68" s="10">
        <f>C68-D68</f>
        <v/>
      </c>
      <c r="F68" s="10">
        <f>SUMIFS(Receivables!$G:$G,Receivables!$D:$D,A68,Receivables!$H:$H,"&lt;&gt;Paid")</f>
        <v/>
      </c>
      <c r="G68" s="10">
        <f>SUMIFS(Payables!$G:$G,Payables!$D:$D,A68,Payables!$H:$H,"&lt;&gt;Paid")</f>
        <v/>
      </c>
      <c r="H68" s="10">
        <f>F68-G68+(AVERAGE('Monthly Summary'!$D$3:$D$14)/30)</f>
        <v/>
      </c>
      <c r="I68" s="10">
        <f>B68+H68</f>
        <v/>
      </c>
      <c r="J68" s="10">
        <f>MAX(0,Settings!$B$12-I68)</f>
        <v/>
      </c>
    </row>
    <row r="69">
      <c r="A69" s="27">
        <f>A68+1</f>
        <v/>
      </c>
      <c r="B69" s="10">
        <f>I68</f>
        <v/>
      </c>
      <c r="C69" s="10">
        <f>SUMIFS(Transactions!$H:$H,Transactions!$A:$A,A69,Transactions!$E:$E,"Income",Transactions!$F:$F,"&lt;&gt;Cancelled")</f>
        <v/>
      </c>
      <c r="D69" s="10">
        <f>SUMIFS(Transactions!$H:$H,Transactions!$A:$A,A69,Transactions!$E:$E,"Expense",Transactions!$F:$F,"&lt;&gt;Cancelled")</f>
        <v/>
      </c>
      <c r="E69" s="10">
        <f>C69-D69</f>
        <v/>
      </c>
      <c r="F69" s="10">
        <f>SUMIFS(Receivables!$G:$G,Receivables!$D:$D,A69,Receivables!$H:$H,"&lt;&gt;Paid")</f>
        <v/>
      </c>
      <c r="G69" s="10">
        <f>SUMIFS(Payables!$G:$G,Payables!$D:$D,A69,Payables!$H:$H,"&lt;&gt;Paid")</f>
        <v/>
      </c>
      <c r="H69" s="10">
        <f>F69-G69+(AVERAGE('Monthly Summary'!$D$3:$D$14)/30)</f>
        <v/>
      </c>
      <c r="I69" s="10">
        <f>B69+H69</f>
        <v/>
      </c>
      <c r="J69" s="10">
        <f>MAX(0,Settings!$B$12-I69)</f>
        <v/>
      </c>
    </row>
    <row r="70">
      <c r="A70" s="27">
        <f>A69+1</f>
        <v/>
      </c>
      <c r="B70" s="10">
        <f>I69</f>
        <v/>
      </c>
      <c r="C70" s="10">
        <f>SUMIFS(Transactions!$H:$H,Transactions!$A:$A,A70,Transactions!$E:$E,"Income",Transactions!$F:$F,"&lt;&gt;Cancelled")</f>
        <v/>
      </c>
      <c r="D70" s="10">
        <f>SUMIFS(Transactions!$H:$H,Transactions!$A:$A,A70,Transactions!$E:$E,"Expense",Transactions!$F:$F,"&lt;&gt;Cancelled")</f>
        <v/>
      </c>
      <c r="E70" s="10">
        <f>C70-D70</f>
        <v/>
      </c>
      <c r="F70" s="10">
        <f>SUMIFS(Receivables!$G:$G,Receivables!$D:$D,A70,Receivables!$H:$H,"&lt;&gt;Paid")</f>
        <v/>
      </c>
      <c r="G70" s="10">
        <f>SUMIFS(Payables!$G:$G,Payables!$D:$D,A70,Payables!$H:$H,"&lt;&gt;Paid")</f>
        <v/>
      </c>
      <c r="H70" s="10">
        <f>F70-G70+(AVERAGE('Monthly Summary'!$D$3:$D$14)/30)</f>
        <v/>
      </c>
      <c r="I70" s="10">
        <f>B70+H70</f>
        <v/>
      </c>
      <c r="J70" s="10">
        <f>MAX(0,Settings!$B$12-I70)</f>
        <v/>
      </c>
    </row>
    <row r="71">
      <c r="A71" s="27">
        <f>A70+1</f>
        <v/>
      </c>
      <c r="B71" s="10">
        <f>I70</f>
        <v/>
      </c>
      <c r="C71" s="10">
        <f>SUMIFS(Transactions!$H:$H,Transactions!$A:$A,A71,Transactions!$E:$E,"Income",Transactions!$F:$F,"&lt;&gt;Cancelled")</f>
        <v/>
      </c>
      <c r="D71" s="10">
        <f>SUMIFS(Transactions!$H:$H,Transactions!$A:$A,A71,Transactions!$E:$E,"Expense",Transactions!$F:$F,"&lt;&gt;Cancelled")</f>
        <v/>
      </c>
      <c r="E71" s="10">
        <f>C71-D71</f>
        <v/>
      </c>
      <c r="F71" s="10">
        <f>SUMIFS(Receivables!$G:$G,Receivables!$D:$D,A71,Receivables!$H:$H,"&lt;&gt;Paid")</f>
        <v/>
      </c>
      <c r="G71" s="10">
        <f>SUMIFS(Payables!$G:$G,Payables!$D:$D,A71,Payables!$H:$H,"&lt;&gt;Paid")</f>
        <v/>
      </c>
      <c r="H71" s="10">
        <f>F71-G71+(AVERAGE('Monthly Summary'!$D$3:$D$14)/30)</f>
        <v/>
      </c>
      <c r="I71" s="10">
        <f>B71+H71</f>
        <v/>
      </c>
      <c r="J71" s="10">
        <f>MAX(0,Settings!$B$12-I71)</f>
        <v/>
      </c>
    </row>
    <row r="72">
      <c r="A72" s="27">
        <f>A71+1</f>
        <v/>
      </c>
      <c r="B72" s="10">
        <f>I71</f>
        <v/>
      </c>
      <c r="C72" s="10">
        <f>SUMIFS(Transactions!$H:$H,Transactions!$A:$A,A72,Transactions!$E:$E,"Income",Transactions!$F:$F,"&lt;&gt;Cancelled")</f>
        <v/>
      </c>
      <c r="D72" s="10">
        <f>SUMIFS(Transactions!$H:$H,Transactions!$A:$A,A72,Transactions!$E:$E,"Expense",Transactions!$F:$F,"&lt;&gt;Cancelled")</f>
        <v/>
      </c>
      <c r="E72" s="10">
        <f>C72-D72</f>
        <v/>
      </c>
      <c r="F72" s="10">
        <f>SUMIFS(Receivables!$G:$G,Receivables!$D:$D,A72,Receivables!$H:$H,"&lt;&gt;Paid")</f>
        <v/>
      </c>
      <c r="G72" s="10">
        <f>SUMIFS(Payables!$G:$G,Payables!$D:$D,A72,Payables!$H:$H,"&lt;&gt;Paid")</f>
        <v/>
      </c>
      <c r="H72" s="10">
        <f>F72-G72+(AVERAGE('Monthly Summary'!$D$3:$D$14)/30)</f>
        <v/>
      </c>
      <c r="I72" s="10">
        <f>B72+H72</f>
        <v/>
      </c>
      <c r="J72" s="10">
        <f>MAX(0,Settings!$B$12-I72)</f>
        <v/>
      </c>
    </row>
    <row r="73">
      <c r="A73" s="27">
        <f>A72+1</f>
        <v/>
      </c>
      <c r="B73" s="10">
        <f>I72</f>
        <v/>
      </c>
      <c r="C73" s="10">
        <f>SUMIFS(Transactions!$H:$H,Transactions!$A:$A,A73,Transactions!$E:$E,"Income",Transactions!$F:$F,"&lt;&gt;Cancelled")</f>
        <v/>
      </c>
      <c r="D73" s="10">
        <f>SUMIFS(Transactions!$H:$H,Transactions!$A:$A,A73,Transactions!$E:$E,"Expense",Transactions!$F:$F,"&lt;&gt;Cancelled")</f>
        <v/>
      </c>
      <c r="E73" s="10">
        <f>C73-D73</f>
        <v/>
      </c>
      <c r="F73" s="10">
        <f>SUMIFS(Receivables!$G:$G,Receivables!$D:$D,A73,Receivables!$H:$H,"&lt;&gt;Paid")</f>
        <v/>
      </c>
      <c r="G73" s="10">
        <f>SUMIFS(Payables!$G:$G,Payables!$D:$D,A73,Payables!$H:$H,"&lt;&gt;Paid")</f>
        <v/>
      </c>
      <c r="H73" s="10">
        <f>F73-G73+(AVERAGE('Monthly Summary'!$D$3:$D$14)/30)</f>
        <v/>
      </c>
      <c r="I73" s="10">
        <f>B73+H73</f>
        <v/>
      </c>
      <c r="J73" s="10">
        <f>MAX(0,Settings!$B$12-I73)</f>
        <v/>
      </c>
    </row>
    <row r="74">
      <c r="A74" s="27">
        <f>A73+1</f>
        <v/>
      </c>
      <c r="B74" s="10">
        <f>I73</f>
        <v/>
      </c>
      <c r="C74" s="10">
        <f>SUMIFS(Transactions!$H:$H,Transactions!$A:$A,A74,Transactions!$E:$E,"Income",Transactions!$F:$F,"&lt;&gt;Cancelled")</f>
        <v/>
      </c>
      <c r="D74" s="10">
        <f>SUMIFS(Transactions!$H:$H,Transactions!$A:$A,A74,Transactions!$E:$E,"Expense",Transactions!$F:$F,"&lt;&gt;Cancelled")</f>
        <v/>
      </c>
      <c r="E74" s="10">
        <f>C74-D74</f>
        <v/>
      </c>
      <c r="F74" s="10">
        <f>SUMIFS(Receivables!$G:$G,Receivables!$D:$D,A74,Receivables!$H:$H,"&lt;&gt;Paid")</f>
        <v/>
      </c>
      <c r="G74" s="10">
        <f>SUMIFS(Payables!$G:$G,Payables!$D:$D,A74,Payables!$H:$H,"&lt;&gt;Paid")</f>
        <v/>
      </c>
      <c r="H74" s="10">
        <f>F74-G74+(AVERAGE('Monthly Summary'!$D$3:$D$14)/30)</f>
        <v/>
      </c>
      <c r="I74" s="10">
        <f>B74+H74</f>
        <v/>
      </c>
      <c r="J74" s="10">
        <f>MAX(0,Settings!$B$12-I74)</f>
        <v/>
      </c>
    </row>
    <row r="75">
      <c r="A75" s="27">
        <f>A74+1</f>
        <v/>
      </c>
      <c r="B75" s="10">
        <f>I74</f>
        <v/>
      </c>
      <c r="C75" s="10">
        <f>SUMIFS(Transactions!$H:$H,Transactions!$A:$A,A75,Transactions!$E:$E,"Income",Transactions!$F:$F,"&lt;&gt;Cancelled")</f>
        <v/>
      </c>
      <c r="D75" s="10">
        <f>SUMIFS(Transactions!$H:$H,Transactions!$A:$A,A75,Transactions!$E:$E,"Expense",Transactions!$F:$F,"&lt;&gt;Cancelled")</f>
        <v/>
      </c>
      <c r="E75" s="10">
        <f>C75-D75</f>
        <v/>
      </c>
      <c r="F75" s="10">
        <f>SUMIFS(Receivables!$G:$G,Receivables!$D:$D,A75,Receivables!$H:$H,"&lt;&gt;Paid")</f>
        <v/>
      </c>
      <c r="G75" s="10">
        <f>SUMIFS(Payables!$G:$G,Payables!$D:$D,A75,Payables!$H:$H,"&lt;&gt;Paid")</f>
        <v/>
      </c>
      <c r="H75" s="10">
        <f>F75-G75+(AVERAGE('Monthly Summary'!$D$3:$D$14)/30)</f>
        <v/>
      </c>
      <c r="I75" s="10">
        <f>B75+H75</f>
        <v/>
      </c>
      <c r="J75" s="10">
        <f>MAX(0,Settings!$B$12-I75)</f>
        <v/>
      </c>
    </row>
    <row r="76">
      <c r="A76" s="27">
        <f>A75+1</f>
        <v/>
      </c>
      <c r="B76" s="10">
        <f>I75</f>
        <v/>
      </c>
      <c r="C76" s="10">
        <f>SUMIFS(Transactions!$H:$H,Transactions!$A:$A,A76,Transactions!$E:$E,"Income",Transactions!$F:$F,"&lt;&gt;Cancelled")</f>
        <v/>
      </c>
      <c r="D76" s="10">
        <f>SUMIFS(Transactions!$H:$H,Transactions!$A:$A,A76,Transactions!$E:$E,"Expense",Transactions!$F:$F,"&lt;&gt;Cancelled")</f>
        <v/>
      </c>
      <c r="E76" s="10">
        <f>C76-D76</f>
        <v/>
      </c>
      <c r="F76" s="10">
        <f>SUMIFS(Receivables!$G:$G,Receivables!$D:$D,A76,Receivables!$H:$H,"&lt;&gt;Paid")</f>
        <v/>
      </c>
      <c r="G76" s="10">
        <f>SUMIFS(Payables!$G:$G,Payables!$D:$D,A76,Payables!$H:$H,"&lt;&gt;Paid")</f>
        <v/>
      </c>
      <c r="H76" s="10">
        <f>F76-G76+(AVERAGE('Monthly Summary'!$D$3:$D$14)/30)</f>
        <v/>
      </c>
      <c r="I76" s="10">
        <f>B76+H76</f>
        <v/>
      </c>
      <c r="J76" s="10">
        <f>MAX(0,Settings!$B$12-I76)</f>
        <v/>
      </c>
    </row>
    <row r="77">
      <c r="A77" s="27">
        <f>A76+1</f>
        <v/>
      </c>
      <c r="B77" s="10">
        <f>I76</f>
        <v/>
      </c>
      <c r="C77" s="10">
        <f>SUMIFS(Transactions!$H:$H,Transactions!$A:$A,A77,Transactions!$E:$E,"Income",Transactions!$F:$F,"&lt;&gt;Cancelled")</f>
        <v/>
      </c>
      <c r="D77" s="10">
        <f>SUMIFS(Transactions!$H:$H,Transactions!$A:$A,A77,Transactions!$E:$E,"Expense",Transactions!$F:$F,"&lt;&gt;Cancelled")</f>
        <v/>
      </c>
      <c r="E77" s="10">
        <f>C77-D77</f>
        <v/>
      </c>
      <c r="F77" s="10">
        <f>SUMIFS(Receivables!$G:$G,Receivables!$D:$D,A77,Receivables!$H:$H,"&lt;&gt;Paid")</f>
        <v/>
      </c>
      <c r="G77" s="10">
        <f>SUMIFS(Payables!$G:$G,Payables!$D:$D,A77,Payables!$H:$H,"&lt;&gt;Paid")</f>
        <v/>
      </c>
      <c r="H77" s="10">
        <f>F77-G77+(AVERAGE('Monthly Summary'!$D$3:$D$14)/30)</f>
        <v/>
      </c>
      <c r="I77" s="10">
        <f>B77+H77</f>
        <v/>
      </c>
      <c r="J77" s="10">
        <f>MAX(0,Settings!$B$12-I77)</f>
        <v/>
      </c>
    </row>
    <row r="78">
      <c r="A78" s="27">
        <f>A77+1</f>
        <v/>
      </c>
      <c r="B78" s="10">
        <f>I77</f>
        <v/>
      </c>
      <c r="C78" s="10">
        <f>SUMIFS(Transactions!$H:$H,Transactions!$A:$A,A78,Transactions!$E:$E,"Income",Transactions!$F:$F,"&lt;&gt;Cancelled")</f>
        <v/>
      </c>
      <c r="D78" s="10">
        <f>SUMIFS(Transactions!$H:$H,Transactions!$A:$A,A78,Transactions!$E:$E,"Expense",Transactions!$F:$F,"&lt;&gt;Cancelled")</f>
        <v/>
      </c>
      <c r="E78" s="10">
        <f>C78-D78</f>
        <v/>
      </c>
      <c r="F78" s="10">
        <f>SUMIFS(Receivables!$G:$G,Receivables!$D:$D,A78,Receivables!$H:$H,"&lt;&gt;Paid")</f>
        <v/>
      </c>
      <c r="G78" s="10">
        <f>SUMIFS(Payables!$G:$G,Payables!$D:$D,A78,Payables!$H:$H,"&lt;&gt;Paid")</f>
        <v/>
      </c>
      <c r="H78" s="10">
        <f>F78-G78+(AVERAGE('Monthly Summary'!$D$3:$D$14)/30)</f>
        <v/>
      </c>
      <c r="I78" s="10">
        <f>B78+H78</f>
        <v/>
      </c>
      <c r="J78" s="10">
        <f>MAX(0,Settings!$B$12-I78)</f>
        <v/>
      </c>
    </row>
    <row r="79">
      <c r="A79" s="27">
        <f>A78+1</f>
        <v/>
      </c>
      <c r="B79" s="10">
        <f>I78</f>
        <v/>
      </c>
      <c r="C79" s="10">
        <f>SUMIFS(Transactions!$H:$H,Transactions!$A:$A,A79,Transactions!$E:$E,"Income",Transactions!$F:$F,"&lt;&gt;Cancelled")</f>
        <v/>
      </c>
      <c r="D79" s="10">
        <f>SUMIFS(Transactions!$H:$H,Transactions!$A:$A,A79,Transactions!$E:$E,"Expense",Transactions!$F:$F,"&lt;&gt;Cancelled")</f>
        <v/>
      </c>
      <c r="E79" s="10">
        <f>C79-D79</f>
        <v/>
      </c>
      <c r="F79" s="10">
        <f>SUMIFS(Receivables!$G:$G,Receivables!$D:$D,A79,Receivables!$H:$H,"&lt;&gt;Paid")</f>
        <v/>
      </c>
      <c r="G79" s="10">
        <f>SUMIFS(Payables!$G:$G,Payables!$D:$D,A79,Payables!$H:$H,"&lt;&gt;Paid")</f>
        <v/>
      </c>
      <c r="H79" s="10">
        <f>F79-G79+(AVERAGE('Monthly Summary'!$D$3:$D$14)/30)</f>
        <v/>
      </c>
      <c r="I79" s="10">
        <f>B79+H79</f>
        <v/>
      </c>
      <c r="J79" s="10">
        <f>MAX(0,Settings!$B$12-I79)</f>
        <v/>
      </c>
    </row>
    <row r="80">
      <c r="A80" s="27">
        <f>A79+1</f>
        <v/>
      </c>
      <c r="B80" s="10">
        <f>I79</f>
        <v/>
      </c>
      <c r="C80" s="10">
        <f>SUMIFS(Transactions!$H:$H,Transactions!$A:$A,A80,Transactions!$E:$E,"Income",Transactions!$F:$F,"&lt;&gt;Cancelled")</f>
        <v/>
      </c>
      <c r="D80" s="10">
        <f>SUMIFS(Transactions!$H:$H,Transactions!$A:$A,A80,Transactions!$E:$E,"Expense",Transactions!$F:$F,"&lt;&gt;Cancelled")</f>
        <v/>
      </c>
      <c r="E80" s="10">
        <f>C80-D80</f>
        <v/>
      </c>
      <c r="F80" s="10">
        <f>SUMIFS(Receivables!$G:$G,Receivables!$D:$D,A80,Receivables!$H:$H,"&lt;&gt;Paid")</f>
        <v/>
      </c>
      <c r="G80" s="10">
        <f>SUMIFS(Payables!$G:$G,Payables!$D:$D,A80,Payables!$H:$H,"&lt;&gt;Paid")</f>
        <v/>
      </c>
      <c r="H80" s="10">
        <f>F80-G80+(AVERAGE('Monthly Summary'!$D$3:$D$14)/30)</f>
        <v/>
      </c>
      <c r="I80" s="10">
        <f>B80+H80</f>
        <v/>
      </c>
      <c r="J80" s="10">
        <f>MAX(0,Settings!$B$12-I80)</f>
        <v/>
      </c>
    </row>
    <row r="81">
      <c r="A81" s="27">
        <f>A80+1</f>
        <v/>
      </c>
      <c r="B81" s="10">
        <f>I80</f>
        <v/>
      </c>
      <c r="C81" s="10">
        <f>SUMIFS(Transactions!$H:$H,Transactions!$A:$A,A81,Transactions!$E:$E,"Income",Transactions!$F:$F,"&lt;&gt;Cancelled")</f>
        <v/>
      </c>
      <c r="D81" s="10">
        <f>SUMIFS(Transactions!$H:$H,Transactions!$A:$A,A81,Transactions!$E:$E,"Expense",Transactions!$F:$F,"&lt;&gt;Cancelled")</f>
        <v/>
      </c>
      <c r="E81" s="10">
        <f>C81-D81</f>
        <v/>
      </c>
      <c r="F81" s="10">
        <f>SUMIFS(Receivables!$G:$G,Receivables!$D:$D,A81,Receivables!$H:$H,"&lt;&gt;Paid")</f>
        <v/>
      </c>
      <c r="G81" s="10">
        <f>SUMIFS(Payables!$G:$G,Payables!$D:$D,A81,Payables!$H:$H,"&lt;&gt;Paid")</f>
        <v/>
      </c>
      <c r="H81" s="10">
        <f>F81-G81+(AVERAGE('Monthly Summary'!$D$3:$D$14)/30)</f>
        <v/>
      </c>
      <c r="I81" s="10">
        <f>B81+H81</f>
        <v/>
      </c>
      <c r="J81" s="10">
        <f>MAX(0,Settings!$B$12-I81)</f>
        <v/>
      </c>
    </row>
    <row r="82">
      <c r="A82" s="27">
        <f>A81+1</f>
        <v/>
      </c>
      <c r="B82" s="10">
        <f>I81</f>
        <v/>
      </c>
      <c r="C82" s="10">
        <f>SUMIFS(Transactions!$H:$H,Transactions!$A:$A,A82,Transactions!$E:$E,"Income",Transactions!$F:$F,"&lt;&gt;Cancelled")</f>
        <v/>
      </c>
      <c r="D82" s="10">
        <f>SUMIFS(Transactions!$H:$H,Transactions!$A:$A,A82,Transactions!$E:$E,"Expense",Transactions!$F:$F,"&lt;&gt;Cancelled")</f>
        <v/>
      </c>
      <c r="E82" s="10">
        <f>C82-D82</f>
        <v/>
      </c>
      <c r="F82" s="10">
        <f>SUMIFS(Receivables!$G:$G,Receivables!$D:$D,A82,Receivables!$H:$H,"&lt;&gt;Paid")</f>
        <v/>
      </c>
      <c r="G82" s="10">
        <f>SUMIFS(Payables!$G:$G,Payables!$D:$D,A82,Payables!$H:$H,"&lt;&gt;Paid")</f>
        <v/>
      </c>
      <c r="H82" s="10">
        <f>F82-G82+(AVERAGE('Monthly Summary'!$D$3:$D$14)/30)</f>
        <v/>
      </c>
      <c r="I82" s="10">
        <f>B82+H82</f>
        <v/>
      </c>
      <c r="J82" s="10">
        <f>MAX(0,Settings!$B$12-I82)</f>
        <v/>
      </c>
    </row>
    <row r="83">
      <c r="A83" s="27">
        <f>A82+1</f>
        <v/>
      </c>
      <c r="B83" s="10">
        <f>I82</f>
        <v/>
      </c>
      <c r="C83" s="10">
        <f>SUMIFS(Transactions!$H:$H,Transactions!$A:$A,A83,Transactions!$E:$E,"Income",Transactions!$F:$F,"&lt;&gt;Cancelled")</f>
        <v/>
      </c>
      <c r="D83" s="10">
        <f>SUMIFS(Transactions!$H:$H,Transactions!$A:$A,A83,Transactions!$E:$E,"Expense",Transactions!$F:$F,"&lt;&gt;Cancelled")</f>
        <v/>
      </c>
      <c r="E83" s="10">
        <f>C83-D83</f>
        <v/>
      </c>
      <c r="F83" s="10">
        <f>SUMIFS(Receivables!$G:$G,Receivables!$D:$D,A83,Receivables!$H:$H,"&lt;&gt;Paid")</f>
        <v/>
      </c>
      <c r="G83" s="10">
        <f>SUMIFS(Payables!$G:$G,Payables!$D:$D,A83,Payables!$H:$H,"&lt;&gt;Paid")</f>
        <v/>
      </c>
      <c r="H83" s="10">
        <f>F83-G83+(AVERAGE('Monthly Summary'!$D$3:$D$14)/30)</f>
        <v/>
      </c>
      <c r="I83" s="10">
        <f>B83+H83</f>
        <v/>
      </c>
      <c r="J83" s="10">
        <f>MAX(0,Settings!$B$12-I83)</f>
        <v/>
      </c>
    </row>
    <row r="84">
      <c r="A84" s="27">
        <f>A83+1</f>
        <v/>
      </c>
      <c r="B84" s="10">
        <f>I83</f>
        <v/>
      </c>
      <c r="C84" s="10">
        <f>SUMIFS(Transactions!$H:$H,Transactions!$A:$A,A84,Transactions!$E:$E,"Income",Transactions!$F:$F,"&lt;&gt;Cancelled")</f>
        <v/>
      </c>
      <c r="D84" s="10">
        <f>SUMIFS(Transactions!$H:$H,Transactions!$A:$A,A84,Transactions!$E:$E,"Expense",Transactions!$F:$F,"&lt;&gt;Cancelled")</f>
        <v/>
      </c>
      <c r="E84" s="10">
        <f>C84-D84</f>
        <v/>
      </c>
      <c r="F84" s="10">
        <f>SUMIFS(Receivables!$G:$G,Receivables!$D:$D,A84,Receivables!$H:$H,"&lt;&gt;Paid")</f>
        <v/>
      </c>
      <c r="G84" s="10">
        <f>SUMIFS(Payables!$G:$G,Payables!$D:$D,A84,Payables!$H:$H,"&lt;&gt;Paid")</f>
        <v/>
      </c>
      <c r="H84" s="10">
        <f>F84-G84+(AVERAGE('Monthly Summary'!$D$3:$D$14)/30)</f>
        <v/>
      </c>
      <c r="I84" s="10">
        <f>B84+H84</f>
        <v/>
      </c>
      <c r="J84" s="10">
        <f>MAX(0,Settings!$B$12-I84)</f>
        <v/>
      </c>
    </row>
    <row r="85">
      <c r="A85" s="27">
        <f>A84+1</f>
        <v/>
      </c>
      <c r="B85" s="10">
        <f>I84</f>
        <v/>
      </c>
      <c r="C85" s="10">
        <f>SUMIFS(Transactions!$H:$H,Transactions!$A:$A,A85,Transactions!$E:$E,"Income",Transactions!$F:$F,"&lt;&gt;Cancelled")</f>
        <v/>
      </c>
      <c r="D85" s="10">
        <f>SUMIFS(Transactions!$H:$H,Transactions!$A:$A,A85,Transactions!$E:$E,"Expense",Transactions!$F:$F,"&lt;&gt;Cancelled")</f>
        <v/>
      </c>
      <c r="E85" s="10">
        <f>C85-D85</f>
        <v/>
      </c>
      <c r="F85" s="10">
        <f>SUMIFS(Receivables!$G:$G,Receivables!$D:$D,A85,Receivables!$H:$H,"&lt;&gt;Paid")</f>
        <v/>
      </c>
      <c r="G85" s="10">
        <f>SUMIFS(Payables!$G:$G,Payables!$D:$D,A85,Payables!$H:$H,"&lt;&gt;Paid")</f>
        <v/>
      </c>
      <c r="H85" s="10">
        <f>F85-G85+(AVERAGE('Monthly Summary'!$D$3:$D$14)/30)</f>
        <v/>
      </c>
      <c r="I85" s="10">
        <f>B85+H85</f>
        <v/>
      </c>
      <c r="J85" s="10">
        <f>MAX(0,Settings!$B$12-I85)</f>
        <v/>
      </c>
    </row>
    <row r="86">
      <c r="A86" s="27">
        <f>A85+1</f>
        <v/>
      </c>
      <c r="B86" s="10">
        <f>I85</f>
        <v/>
      </c>
      <c r="C86" s="10">
        <f>SUMIFS(Transactions!$H:$H,Transactions!$A:$A,A86,Transactions!$E:$E,"Income",Transactions!$F:$F,"&lt;&gt;Cancelled")</f>
        <v/>
      </c>
      <c r="D86" s="10">
        <f>SUMIFS(Transactions!$H:$H,Transactions!$A:$A,A86,Transactions!$E:$E,"Expense",Transactions!$F:$F,"&lt;&gt;Cancelled")</f>
        <v/>
      </c>
      <c r="E86" s="10">
        <f>C86-D86</f>
        <v/>
      </c>
      <c r="F86" s="10">
        <f>SUMIFS(Receivables!$G:$G,Receivables!$D:$D,A86,Receivables!$H:$H,"&lt;&gt;Paid")</f>
        <v/>
      </c>
      <c r="G86" s="10">
        <f>SUMIFS(Payables!$G:$G,Payables!$D:$D,A86,Payables!$H:$H,"&lt;&gt;Paid")</f>
        <v/>
      </c>
      <c r="H86" s="10">
        <f>F86-G86+(AVERAGE('Monthly Summary'!$D$3:$D$14)/30)</f>
        <v/>
      </c>
      <c r="I86" s="10">
        <f>B86+H86</f>
        <v/>
      </c>
      <c r="J86" s="10">
        <f>MAX(0,Settings!$B$12-I86)</f>
        <v/>
      </c>
    </row>
    <row r="87">
      <c r="A87" s="27">
        <f>A86+1</f>
        <v/>
      </c>
      <c r="B87" s="10">
        <f>I86</f>
        <v/>
      </c>
      <c r="C87" s="10">
        <f>SUMIFS(Transactions!$H:$H,Transactions!$A:$A,A87,Transactions!$E:$E,"Income",Transactions!$F:$F,"&lt;&gt;Cancelled")</f>
        <v/>
      </c>
      <c r="D87" s="10">
        <f>SUMIFS(Transactions!$H:$H,Transactions!$A:$A,A87,Transactions!$E:$E,"Expense",Transactions!$F:$F,"&lt;&gt;Cancelled")</f>
        <v/>
      </c>
      <c r="E87" s="10">
        <f>C87-D87</f>
        <v/>
      </c>
      <c r="F87" s="10">
        <f>SUMIFS(Receivables!$G:$G,Receivables!$D:$D,A87,Receivables!$H:$H,"&lt;&gt;Paid")</f>
        <v/>
      </c>
      <c r="G87" s="10">
        <f>SUMIFS(Payables!$G:$G,Payables!$D:$D,A87,Payables!$H:$H,"&lt;&gt;Paid")</f>
        <v/>
      </c>
      <c r="H87" s="10">
        <f>F87-G87+(AVERAGE('Monthly Summary'!$D$3:$D$14)/30)</f>
        <v/>
      </c>
      <c r="I87" s="10">
        <f>B87+H87</f>
        <v/>
      </c>
      <c r="J87" s="10">
        <f>MAX(0,Settings!$B$12-I87)</f>
        <v/>
      </c>
    </row>
    <row r="88">
      <c r="A88" s="27">
        <f>A87+1</f>
        <v/>
      </c>
      <c r="B88" s="10">
        <f>I87</f>
        <v/>
      </c>
      <c r="C88" s="10">
        <f>SUMIFS(Transactions!$H:$H,Transactions!$A:$A,A88,Transactions!$E:$E,"Income",Transactions!$F:$F,"&lt;&gt;Cancelled")</f>
        <v/>
      </c>
      <c r="D88" s="10">
        <f>SUMIFS(Transactions!$H:$H,Transactions!$A:$A,A88,Transactions!$E:$E,"Expense",Transactions!$F:$F,"&lt;&gt;Cancelled")</f>
        <v/>
      </c>
      <c r="E88" s="10">
        <f>C88-D88</f>
        <v/>
      </c>
      <c r="F88" s="10">
        <f>SUMIFS(Receivables!$G:$G,Receivables!$D:$D,A88,Receivables!$H:$H,"&lt;&gt;Paid")</f>
        <v/>
      </c>
      <c r="G88" s="10">
        <f>SUMIFS(Payables!$G:$G,Payables!$D:$D,A88,Payables!$H:$H,"&lt;&gt;Paid")</f>
        <v/>
      </c>
      <c r="H88" s="10">
        <f>F88-G88+(AVERAGE('Monthly Summary'!$D$3:$D$14)/30)</f>
        <v/>
      </c>
      <c r="I88" s="10">
        <f>B88+H88</f>
        <v/>
      </c>
      <c r="J88" s="10">
        <f>MAX(0,Settings!$B$12-I88)</f>
        <v/>
      </c>
    </row>
    <row r="89">
      <c r="A89" s="27">
        <f>A88+1</f>
        <v/>
      </c>
      <c r="B89" s="10">
        <f>I88</f>
        <v/>
      </c>
      <c r="C89" s="10">
        <f>SUMIFS(Transactions!$H:$H,Transactions!$A:$A,A89,Transactions!$E:$E,"Income",Transactions!$F:$F,"&lt;&gt;Cancelled")</f>
        <v/>
      </c>
      <c r="D89" s="10">
        <f>SUMIFS(Transactions!$H:$H,Transactions!$A:$A,A89,Transactions!$E:$E,"Expense",Transactions!$F:$F,"&lt;&gt;Cancelled")</f>
        <v/>
      </c>
      <c r="E89" s="10">
        <f>C89-D89</f>
        <v/>
      </c>
      <c r="F89" s="10">
        <f>SUMIFS(Receivables!$G:$G,Receivables!$D:$D,A89,Receivables!$H:$H,"&lt;&gt;Paid")</f>
        <v/>
      </c>
      <c r="G89" s="10">
        <f>SUMIFS(Payables!$G:$G,Payables!$D:$D,A89,Payables!$H:$H,"&lt;&gt;Paid")</f>
        <v/>
      </c>
      <c r="H89" s="10">
        <f>F89-G89+(AVERAGE('Monthly Summary'!$D$3:$D$14)/30)</f>
        <v/>
      </c>
      <c r="I89" s="10">
        <f>B89+H89</f>
        <v/>
      </c>
      <c r="J89" s="10">
        <f>MAX(0,Settings!$B$12-I89)</f>
        <v/>
      </c>
    </row>
    <row r="90">
      <c r="A90" s="27">
        <f>A89+1</f>
        <v/>
      </c>
      <c r="B90" s="10">
        <f>I89</f>
        <v/>
      </c>
      <c r="C90" s="10">
        <f>SUMIFS(Transactions!$H:$H,Transactions!$A:$A,A90,Transactions!$E:$E,"Income",Transactions!$F:$F,"&lt;&gt;Cancelled")</f>
        <v/>
      </c>
      <c r="D90" s="10">
        <f>SUMIFS(Transactions!$H:$H,Transactions!$A:$A,A90,Transactions!$E:$E,"Expense",Transactions!$F:$F,"&lt;&gt;Cancelled")</f>
        <v/>
      </c>
      <c r="E90" s="10">
        <f>C90-D90</f>
        <v/>
      </c>
      <c r="F90" s="10">
        <f>SUMIFS(Receivables!$G:$G,Receivables!$D:$D,A90,Receivables!$H:$H,"&lt;&gt;Paid")</f>
        <v/>
      </c>
      <c r="G90" s="10">
        <f>SUMIFS(Payables!$G:$G,Payables!$D:$D,A90,Payables!$H:$H,"&lt;&gt;Paid")</f>
        <v/>
      </c>
      <c r="H90" s="10">
        <f>F90-G90+(AVERAGE('Monthly Summary'!$D$3:$D$14)/30)</f>
        <v/>
      </c>
      <c r="I90" s="10">
        <f>B90+H90</f>
        <v/>
      </c>
      <c r="J90" s="10">
        <f>MAX(0,Settings!$B$12-I90)</f>
        <v/>
      </c>
    </row>
    <row r="91">
      <c r="A91" s="27">
        <f>A90+1</f>
        <v/>
      </c>
      <c r="B91" s="10">
        <f>I90</f>
        <v/>
      </c>
      <c r="C91" s="10">
        <f>SUMIFS(Transactions!$H:$H,Transactions!$A:$A,A91,Transactions!$E:$E,"Income",Transactions!$F:$F,"&lt;&gt;Cancelled")</f>
        <v/>
      </c>
      <c r="D91" s="10">
        <f>SUMIFS(Transactions!$H:$H,Transactions!$A:$A,A91,Transactions!$E:$E,"Expense",Transactions!$F:$F,"&lt;&gt;Cancelled")</f>
        <v/>
      </c>
      <c r="E91" s="10">
        <f>C91-D91</f>
        <v/>
      </c>
      <c r="F91" s="10">
        <f>SUMIFS(Receivables!$G:$G,Receivables!$D:$D,A91,Receivables!$H:$H,"&lt;&gt;Paid")</f>
        <v/>
      </c>
      <c r="G91" s="10">
        <f>SUMIFS(Payables!$G:$G,Payables!$D:$D,A91,Payables!$H:$H,"&lt;&gt;Paid")</f>
        <v/>
      </c>
      <c r="H91" s="10">
        <f>F91-G91+(AVERAGE('Monthly Summary'!$D$3:$D$14)/30)</f>
        <v/>
      </c>
      <c r="I91" s="10">
        <f>B91+H91</f>
        <v/>
      </c>
      <c r="J91" s="10">
        <f>MAX(0,Settings!$B$12-I91)</f>
        <v/>
      </c>
    </row>
    <row r="92">
      <c r="A92" s="27">
        <f>A91+1</f>
        <v/>
      </c>
      <c r="B92" s="10">
        <f>I91</f>
        <v/>
      </c>
      <c r="C92" s="10">
        <f>SUMIFS(Transactions!$H:$H,Transactions!$A:$A,A92,Transactions!$E:$E,"Income",Transactions!$F:$F,"&lt;&gt;Cancelled")</f>
        <v/>
      </c>
      <c r="D92" s="10">
        <f>SUMIFS(Transactions!$H:$H,Transactions!$A:$A,A92,Transactions!$E:$E,"Expense",Transactions!$F:$F,"&lt;&gt;Cancelled")</f>
        <v/>
      </c>
      <c r="E92" s="10">
        <f>C92-D92</f>
        <v/>
      </c>
      <c r="F92" s="10">
        <f>SUMIFS(Receivables!$G:$G,Receivables!$D:$D,A92,Receivables!$H:$H,"&lt;&gt;Paid")</f>
        <v/>
      </c>
      <c r="G92" s="10">
        <f>SUMIFS(Payables!$G:$G,Payables!$D:$D,A92,Payables!$H:$H,"&lt;&gt;Paid")</f>
        <v/>
      </c>
      <c r="H92" s="10">
        <f>F92-G92+(AVERAGE('Monthly Summary'!$D$3:$D$14)/30)</f>
        <v/>
      </c>
      <c r="I92" s="10">
        <f>B92+H92</f>
        <v/>
      </c>
      <c r="J92" s="10">
        <f>MAX(0,Settings!$B$12-I92)</f>
        <v/>
      </c>
    </row>
    <row r="93">
      <c r="A93" s="27">
        <f>A92+1</f>
        <v/>
      </c>
      <c r="B93" s="10">
        <f>I92</f>
        <v/>
      </c>
      <c r="C93" s="10">
        <f>SUMIFS(Transactions!$H:$H,Transactions!$A:$A,A93,Transactions!$E:$E,"Income",Transactions!$F:$F,"&lt;&gt;Cancelled")</f>
        <v/>
      </c>
      <c r="D93" s="10">
        <f>SUMIFS(Transactions!$H:$H,Transactions!$A:$A,A93,Transactions!$E:$E,"Expense",Transactions!$F:$F,"&lt;&gt;Cancelled")</f>
        <v/>
      </c>
      <c r="E93" s="10">
        <f>C93-D93</f>
        <v/>
      </c>
      <c r="F93" s="10">
        <f>SUMIFS(Receivables!$G:$G,Receivables!$D:$D,A93,Receivables!$H:$H,"&lt;&gt;Paid")</f>
        <v/>
      </c>
      <c r="G93" s="10">
        <f>SUMIFS(Payables!$G:$G,Payables!$D:$D,A93,Payables!$H:$H,"&lt;&gt;Paid")</f>
        <v/>
      </c>
      <c r="H93" s="10">
        <f>F93-G93+(AVERAGE('Monthly Summary'!$D$3:$D$14)/30)</f>
        <v/>
      </c>
      <c r="I93" s="10">
        <f>B93+H93</f>
        <v/>
      </c>
      <c r="J93" s="10">
        <f>MAX(0,Settings!$B$12-I93)</f>
        <v/>
      </c>
    </row>
  </sheetData>
  <mergeCells count="2">
    <mergeCell ref="A1:J1"/>
    <mergeCell ref="A2:J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32" customWidth="1" min="3" max="3"/>
    <col width="26" customWidth="1" min="4" max="4"/>
    <col width="32" customWidth="1" min="5" max="5"/>
    <col width="15" customWidth="1" min="6" max="6"/>
  </cols>
  <sheetData>
    <row r="1" ht="34" customHeight="1">
      <c r="A1" s="1" t="inlineStr">
        <is>
          <t>Goals &amp; KPIs</t>
        </is>
      </c>
    </row>
    <row r="2">
      <c r="A2" s="16" t="inlineStr">
        <is>
          <t>Track revenue, margin, reserve, collections and profit targets.</t>
        </is>
      </c>
      <c r="B2" s="15" t="n"/>
      <c r="C2" s="15" t="n"/>
      <c r="D2" s="15" t="n"/>
      <c r="E2" s="15" t="n"/>
      <c r="F2" s="15" t="n"/>
    </row>
    <row r="3">
      <c r="A3" s="9" t="inlineStr">
        <is>
          <t>Monthly Revenue</t>
        </is>
      </c>
      <c r="B3" s="10">
        <f>Settings!B9</f>
        <v/>
      </c>
      <c r="C3" s="10">
        <f>SUMIFS(Transactions!$H:$H,Transactions!$E:$E,"Income",Transactions!$F:$F,"&lt;&gt;Cancelled")</f>
        <v/>
      </c>
      <c r="D3" s="18">
        <f>MIN(1,IFERROR(C3/B3,0))</f>
        <v/>
      </c>
      <c r="E3" s="9">
        <f>IF(D3&gt;=1,"On Track",IF(D3&gt;=0.75,"Watch","Needs Attention"))</f>
        <v/>
      </c>
      <c r="F3" s="9" t="inlineStr">
        <is>
          <t>Review weekly</t>
        </is>
      </c>
    </row>
    <row r="4">
      <c r="A4" s="9" t="inlineStr">
        <is>
          <t>Net Margin</t>
        </is>
      </c>
      <c r="B4" s="18">
        <f>Settings!B10</f>
        <v/>
      </c>
      <c r="C4" s="18">
        <f>IFERROR((SUMIFS(Transactions!$H:$H,Transactions!$E:$E,"Income")-SUMIFS(Transactions!$H:$H,Transactions!$E:$E,"Expense"))/SUMIFS(Transactions!$H:$H,Transactions!$E:$E,"Income"),0)</f>
        <v/>
      </c>
      <c r="D4" s="18">
        <f>MIN(1,IFERROR(C4/B4,0))</f>
        <v/>
      </c>
      <c r="E4" s="9">
        <f>IF(D4&gt;=1,"On Track",IF(D4&gt;=0.75,"Watch","Needs Attention"))</f>
        <v/>
      </c>
      <c r="F4" s="9" t="inlineStr">
        <is>
          <t>Review weekly</t>
        </is>
      </c>
    </row>
    <row r="5">
      <c r="A5" s="9" t="inlineStr">
        <is>
          <t>Cash Reserve</t>
        </is>
      </c>
      <c r="B5" s="10">
        <f>Settings!B12</f>
        <v/>
      </c>
      <c r="C5" s="10">
        <f>SUM(Accounts!D3:D100)</f>
        <v/>
      </c>
      <c r="D5" s="18">
        <f>MIN(1,IFERROR(C5/B5,0))</f>
        <v/>
      </c>
      <c r="E5" s="9">
        <f>IF(D5&gt;=1,"On Track",IF(D5&gt;=0.75,"Watch","Needs Attention"))</f>
        <v/>
      </c>
      <c r="F5" s="9" t="inlineStr">
        <is>
          <t>Review weekly</t>
        </is>
      </c>
    </row>
    <row r="6">
      <c r="A6" s="9" t="inlineStr">
        <is>
          <t>Receivables Collected</t>
        </is>
      </c>
      <c r="B6" s="10">
        <f>SUM(Receivables!E3:E100)</f>
        <v/>
      </c>
      <c r="C6" s="10">
        <f>SUM(Receivables!F3:F100)</f>
        <v/>
      </c>
      <c r="D6" s="18">
        <f>MIN(1,IFERROR(C6/B6,0))</f>
        <v/>
      </c>
      <c r="E6" s="9">
        <f>IF(D6&gt;=1,"On Track",IF(D6&gt;=0.75,"Watch","Needs Attention"))</f>
        <v/>
      </c>
      <c r="F6" s="9" t="inlineStr">
        <is>
          <t>Review weekly</t>
        </is>
      </c>
    </row>
    <row r="7">
      <c r="A7" s="9" t="inlineStr">
        <is>
          <t>Budget Profit</t>
        </is>
      </c>
      <c r="B7" s="10">
        <f>SUM(Budget!D3:D14)</f>
        <v/>
      </c>
      <c r="C7" s="10">
        <f>SUM('Monthly Summary'!D3:D14)</f>
        <v/>
      </c>
      <c r="D7" s="18">
        <f>MIN(1,IFERROR(C7/B7,0))</f>
        <v/>
      </c>
      <c r="E7" s="9">
        <f>IF(D7&gt;=1,"On Track",IF(D7&gt;=0.75,"Watch","Needs Attention"))</f>
        <v/>
      </c>
      <c r="F7" s="9" t="inlineStr">
        <is>
          <t>Review weekly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15" customWidth="1" min="6" max="6"/>
  </cols>
  <sheetData>
    <row r="1" ht="34" customHeight="1">
      <c r="A1" s="1" t="inlineStr">
        <is>
          <t>Financial Health Score</t>
        </is>
      </c>
    </row>
    <row r="2">
      <c r="A2" s="16" t="inlineStr">
        <is>
          <t>Management scorecard for profitability, liquidity, collections and forecast risk.</t>
        </is>
      </c>
      <c r="B2" s="15" t="n"/>
      <c r="C2" s="15" t="n"/>
      <c r="D2" s="15" t="n"/>
      <c r="E2" s="15" t="n"/>
      <c r="F2" s="15" t="n"/>
    </row>
    <row r="3">
      <c r="A3" s="9" t="inlineStr">
        <is>
          <t>Net Margin</t>
        </is>
      </c>
      <c r="B3" s="9" t="inlineStr">
        <is>
          <t>&gt;= 20%</t>
        </is>
      </c>
      <c r="C3" s="18">
        <f>IFERROR('Monthly Summary'!D14/'Monthly Summary'!B14,0)</f>
        <v/>
      </c>
      <c r="D3" s="11">
        <f>MIN(100,MAX(0,C3/Settings!B10*100))</f>
        <v/>
      </c>
      <c r="E3" s="9">
        <f>IF(D3&gt;=80,"Healthy",IF(D3&gt;=60,"Watch","Risk"))</f>
        <v/>
      </c>
      <c r="F3" s="9" t="inlineStr">
        <is>
          <t>Profitability</t>
        </is>
      </c>
    </row>
    <row r="4">
      <c r="A4" s="9" t="inlineStr">
        <is>
          <t>Expense Ratio</t>
        </is>
      </c>
      <c r="B4" s="9" t="inlineStr">
        <is>
          <t>&lt;= 80%</t>
        </is>
      </c>
      <c r="C4" s="18">
        <f>IFERROR('Monthly Summary'!C14/'Monthly Summary'!B14,0)</f>
        <v/>
      </c>
      <c r="D4" s="11">
        <f>MIN(100,MAX(0,(1-C4)/0.2*100))</f>
        <v/>
      </c>
      <c r="E4" s="9">
        <f>IF(D4&gt;=80,"Healthy",IF(D4&gt;=60,"Watch","Risk"))</f>
        <v/>
      </c>
      <c r="F4" s="9" t="inlineStr">
        <is>
          <t>Cost control</t>
        </is>
      </c>
    </row>
    <row r="5">
      <c r="A5" s="9" t="inlineStr">
        <is>
          <t>Cash Reserve</t>
        </is>
      </c>
      <c r="B5" s="9" t="inlineStr">
        <is>
          <t>Cash &gt;= target</t>
        </is>
      </c>
      <c r="C5" s="10">
        <f>SUM(Accounts!D3:D100)</f>
        <v/>
      </c>
      <c r="D5" s="11">
        <f>MIN(100,IFERROR(C5/Settings!B12*100,0))</f>
        <v/>
      </c>
      <c r="E5" s="9">
        <f>IF(D5&gt;=80,"Healthy",IF(D5&gt;=60,"Watch","Risk"))</f>
        <v/>
      </c>
      <c r="F5" s="9" t="inlineStr">
        <is>
          <t>Liquidity</t>
        </is>
      </c>
    </row>
    <row r="6">
      <c r="A6" s="9" t="inlineStr">
        <is>
          <t>Receivables Outstanding</t>
        </is>
      </c>
      <c r="B6" s="9" t="inlineStr">
        <is>
          <t>Lower is better</t>
        </is>
      </c>
      <c r="C6" s="10">
        <f>SUM(Receivables!G3:G100)</f>
        <v/>
      </c>
      <c r="D6" s="11">
        <f>MAX(0,100-MIN(100,C6/Settings!B12*100))</f>
        <v/>
      </c>
      <c r="E6" s="9">
        <f>IF(D6&gt;=80,"Healthy",IF(D6&gt;=60,"Watch","Risk"))</f>
        <v/>
      </c>
      <c r="F6" s="9" t="inlineStr">
        <is>
          <t>Collections</t>
        </is>
      </c>
    </row>
    <row r="7">
      <c r="A7" s="9" t="inlineStr">
        <is>
          <t>Payables Outstanding</t>
        </is>
      </c>
      <c r="B7" s="9" t="inlineStr">
        <is>
          <t>Manage obligations</t>
        </is>
      </c>
      <c r="C7" s="10">
        <f>SUM(Payables!G3:G100)</f>
        <v/>
      </c>
      <c r="D7" s="11">
        <f>MAX(0,100-MIN(100,C7/Settings!B12*100))</f>
        <v/>
      </c>
      <c r="E7" s="9">
        <f>IF(D7&gt;=80,"Healthy",IF(D7&gt;=60,"Watch","Risk"))</f>
        <v/>
      </c>
      <c r="F7" s="9" t="inlineStr">
        <is>
          <t>Obligations</t>
        </is>
      </c>
    </row>
    <row r="8">
      <c r="A8" s="9" t="inlineStr">
        <is>
          <t>Revenue vs Budget</t>
        </is>
      </c>
      <c r="B8" s="9" t="inlineStr">
        <is>
          <t>&gt;= 100%</t>
        </is>
      </c>
      <c r="C8" s="18">
        <f>IFERROR(SUM('Monthly Summary'!B3:B14)/SUM('Monthly Summary'!F3:F14),0)</f>
        <v/>
      </c>
      <c r="D8" s="11">
        <f>MIN(100,C8*100)</f>
        <v/>
      </c>
      <c r="E8" s="9">
        <f>IF(D8&gt;=80,"Healthy",IF(D8&gt;=60,"Watch","Risk"))</f>
        <v/>
      </c>
      <c r="F8" s="9" t="inlineStr">
        <is>
          <t>Growth</t>
        </is>
      </c>
    </row>
    <row r="9">
      <c r="A9" s="9" t="inlineStr">
        <is>
          <t>Profit vs Budget</t>
        </is>
      </c>
      <c r="B9" s="9" t="inlineStr">
        <is>
          <t>&gt;= 100%</t>
        </is>
      </c>
      <c r="C9" s="18">
        <f>IFERROR(SUM('Monthly Summary'!D3:D14)/SUM('Monthly Summary'!H3:H14),0)</f>
        <v/>
      </c>
      <c r="D9" s="11">
        <f>MIN(100,C9*100)</f>
        <v/>
      </c>
      <c r="E9" s="9">
        <f>IF(D9&gt;=80,"Healthy",IF(D9&gt;=60,"Watch","Risk"))</f>
        <v/>
      </c>
      <c r="F9" s="9" t="inlineStr">
        <is>
          <t>Execution</t>
        </is>
      </c>
    </row>
    <row r="10">
      <c r="A10" s="9" t="inlineStr">
        <is>
          <t>Cash Forecast</t>
        </is>
      </c>
      <c r="B10" s="9" t="inlineStr">
        <is>
          <t>No days below reserve</t>
        </is>
      </c>
      <c r="C10" s="9" t="b">
        <v>0</v>
      </c>
      <c r="D10" s="11">
        <f>MAX(0,100-C10*5)</f>
        <v/>
      </c>
      <c r="E10" s="9">
        <f>IF(D10&gt;=80,"Healthy",IF(D10&gt;=60,"Watch","Risk"))</f>
        <v/>
      </c>
      <c r="F10" s="9" t="inlineStr">
        <is>
          <t>Forward risk</t>
        </is>
      </c>
    </row>
    <row r="11"/>
    <row r="12"/>
    <row r="13">
      <c r="A13" s="29" t="inlineStr">
        <is>
          <t>Overall Financial Health Score</t>
        </is>
      </c>
      <c r="B13" s="30">
        <f>ROUND(AVERAGE(D3:D10),0)</f>
        <v/>
      </c>
      <c r="C13" s="31">
        <f>IF(B13&gt;=80,"HEALTHY",IF(B13&gt;=60,"WATCH","ACTION REQUIRED"))</f>
        <v/>
      </c>
    </row>
    <row r="14"/>
    <row r="15">
      <c r="A15" s="9" t="inlineStr">
        <is>
          <t>Interpretation</t>
        </is>
      </c>
      <c r="B15" s="9" t="inlineStr">
        <is>
          <t>80–100 Healthy | 60–79 Watch | Below 60 Action Required</t>
        </is>
      </c>
    </row>
  </sheetData>
  <mergeCells count="3">
    <mergeCell ref="A1:J1"/>
    <mergeCell ref="B15:F15"/>
    <mergeCell ref="A2:J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GlobalTools</dc:creator>
  <dc:title>GlobalTools Small Business Finance Dashboard PRO</dc:title>
  <dc:subject>Professional small business finance management workbook</dc:subject>
  <dcterms:created xsi:type="dcterms:W3CDTF">2026-10-07T12:50:40Z</dcterms:created>
  <dcterms:modified xsi:type="dcterms:W3CDTF">2026-10-07T12:50:40Z</dcterms:modified>
</cp:coreProperties>
</file>